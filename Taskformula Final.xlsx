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636\OneDrive\Documents\Excel workbooks\"/>
    </mc:Choice>
  </mc:AlternateContent>
  <xr:revisionPtr revIDLastSave="0" documentId="8_{8F586F02-6B83-426F-ABE8-BB69894350BE}" xr6:coauthVersionLast="47" xr6:coauthVersionMax="47" xr10:uidLastSave="{00000000-0000-0000-0000-000000000000}"/>
  <bookViews>
    <workbookView xWindow="-110" yWindow="-110" windowWidth="22620" windowHeight="13500" xr2:uid="{63AAA9FA-8DF7-49E9-AF48-4D6FB74E3871}"/>
  </bookViews>
  <sheets>
    <sheet name="Sheet1" sheetId="1" r:id="rId1"/>
    <sheet name="Sheet3" sheetId="4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7" i="1" l="1"/>
  <c r="C47" i="1"/>
  <c r="B47" i="1"/>
  <c r="H47" i="1"/>
  <c r="G47" i="1"/>
  <c r="F47" i="1"/>
  <c r="E47" i="1"/>
  <c r="V29" i="4"/>
  <c r="R29" i="4"/>
  <c r="Q29" i="4"/>
  <c r="S29" i="4" s="1"/>
  <c r="A25" i="4" a="1"/>
  <c r="A25" i="4" s="1"/>
  <c r="C43" i="1"/>
  <c r="C42" i="1"/>
  <c r="D23" i="1"/>
  <c r="D24" i="1"/>
  <c r="C29" i="1"/>
  <c r="AB24" i="1"/>
  <c r="AC24" i="1"/>
  <c r="AD24" i="1"/>
  <c r="AE24" i="1"/>
  <c r="AF24" i="1"/>
  <c r="AB23" i="1"/>
  <c r="AC23" i="1"/>
  <c r="AD23" i="1"/>
  <c r="AE23" i="1"/>
  <c r="AF23" i="1"/>
  <c r="AA24" i="1"/>
  <c r="AA23" i="1"/>
  <c r="U24" i="1"/>
  <c r="V24" i="1"/>
  <c r="W24" i="1"/>
  <c r="X24" i="1"/>
  <c r="Y24" i="1"/>
  <c r="U23" i="1"/>
  <c r="V23" i="1"/>
  <c r="W23" i="1"/>
  <c r="X23" i="1"/>
  <c r="Y23" i="1"/>
  <c r="T24" i="1"/>
  <c r="T23" i="1"/>
  <c r="N24" i="1"/>
  <c r="O24" i="1"/>
  <c r="P24" i="1"/>
  <c r="Q24" i="1"/>
  <c r="R24" i="1"/>
  <c r="N23" i="1"/>
  <c r="O23" i="1"/>
  <c r="P23" i="1"/>
  <c r="Q23" i="1"/>
  <c r="R23" i="1"/>
  <c r="M24" i="1"/>
  <c r="M23" i="1"/>
  <c r="G24" i="1"/>
  <c r="H24" i="1"/>
  <c r="I24" i="1"/>
  <c r="J24" i="1"/>
  <c r="K24" i="1"/>
  <c r="G23" i="1"/>
  <c r="H23" i="1"/>
  <c r="I23" i="1"/>
  <c r="J23" i="1"/>
  <c r="K23" i="1"/>
  <c r="F24" i="1"/>
  <c r="F23" i="1"/>
  <c r="AH6" i="1"/>
  <c r="U29" i="4" l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6" i="1"/>
  <c r="AJ6" i="1"/>
  <c r="AL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6" i="1"/>
  <c r="AH7" i="1"/>
  <c r="AJ7" i="1" s="1"/>
  <c r="AH8" i="1"/>
  <c r="AJ8" i="1" s="1"/>
  <c r="AH9" i="1"/>
  <c r="AJ9" i="1" s="1"/>
  <c r="AH10" i="1"/>
  <c r="AJ10" i="1" s="1"/>
  <c r="AH11" i="1"/>
  <c r="AL11" i="1" s="1"/>
  <c r="AQ11" i="1" s="1"/>
  <c r="AH12" i="1"/>
  <c r="AL12" i="1" s="1"/>
  <c r="AQ12" i="1" s="1"/>
  <c r="AH13" i="1"/>
  <c r="AL13" i="1" s="1"/>
  <c r="AH14" i="1"/>
  <c r="AJ14" i="1" s="1"/>
  <c r="AH15" i="1"/>
  <c r="AJ15" i="1" s="1"/>
  <c r="AH16" i="1"/>
  <c r="AL16" i="1" s="1"/>
  <c r="AH17" i="1"/>
  <c r="AJ17" i="1" s="1"/>
  <c r="AH18" i="1"/>
  <c r="AL18" i="1" s="1"/>
  <c r="AH19" i="1"/>
  <c r="AJ19" i="1" s="1"/>
  <c r="AH20" i="1"/>
  <c r="AL20" i="1" s="1"/>
  <c r="Z29" i="4" l="1"/>
  <c r="W29" i="4"/>
  <c r="X29" i="4" s="1"/>
  <c r="Y29" i="4" s="1"/>
  <c r="AJ20" i="1"/>
  <c r="AJ18" i="1"/>
  <c r="AJ13" i="1"/>
  <c r="AJ12" i="1"/>
  <c r="AJ11" i="1"/>
  <c r="AL9" i="1"/>
  <c r="AQ9" i="1" s="1"/>
  <c r="AQ20" i="1"/>
  <c r="AN20" i="1"/>
  <c r="AO20" i="1" s="1"/>
  <c r="AP20" i="1" s="1"/>
  <c r="AL10" i="1"/>
  <c r="AL8" i="1"/>
  <c r="AL7" i="1"/>
  <c r="AN9" i="1"/>
  <c r="AO9" i="1" s="1"/>
  <c r="AP9" i="1" s="1"/>
  <c r="AL19" i="1"/>
  <c r="AQ16" i="1"/>
  <c r="AN16" i="1"/>
  <c r="AO16" i="1" s="1"/>
  <c r="AQ13" i="1"/>
  <c r="AN13" i="1"/>
  <c r="AO13" i="1"/>
  <c r="AQ18" i="1"/>
  <c r="AN18" i="1"/>
  <c r="AO18" i="1" s="1"/>
  <c r="AP18" i="1" s="1"/>
  <c r="AQ6" i="1"/>
  <c r="AM22" i="1"/>
  <c r="C33" i="1"/>
  <c r="AJ16" i="1"/>
  <c r="AL15" i="1"/>
  <c r="AL17" i="1"/>
  <c r="AL14" i="1"/>
  <c r="AN12" i="1"/>
  <c r="AO12" i="1" s="1"/>
  <c r="AP12" i="1" s="1"/>
  <c r="AN11" i="1"/>
  <c r="AO11" i="1" s="1"/>
  <c r="AP11" i="1" s="1"/>
  <c r="AN6" i="1"/>
  <c r="AP13" i="1" l="1"/>
  <c r="AP16" i="1"/>
  <c r="AQ19" i="1"/>
  <c r="AN19" i="1"/>
  <c r="AO19" i="1" s="1"/>
  <c r="AP19" i="1" s="1"/>
  <c r="AQ7" i="1"/>
  <c r="AN7" i="1"/>
  <c r="AO7" i="1" s="1"/>
  <c r="AP7" i="1" s="1"/>
  <c r="AQ8" i="1"/>
  <c r="AN8" i="1"/>
  <c r="AO8" i="1" s="1"/>
  <c r="AP8" i="1" s="1"/>
  <c r="AQ10" i="1"/>
  <c r="AN10" i="1"/>
  <c r="AO10" i="1" s="1"/>
  <c r="AP10" i="1" s="1"/>
  <c r="AO6" i="1"/>
  <c r="AQ14" i="1"/>
  <c r="AN14" i="1"/>
  <c r="AO14" i="1" s="1"/>
  <c r="AP14" i="1" s="1"/>
  <c r="AQ17" i="1"/>
  <c r="AN17" i="1"/>
  <c r="AO17" i="1" s="1"/>
  <c r="AP17" i="1" s="1"/>
  <c r="AQ15" i="1"/>
  <c r="AN15" i="1"/>
  <c r="AO15" i="1" s="1"/>
  <c r="AP15" i="1" s="1"/>
  <c r="C32" i="1"/>
  <c r="C31" i="1"/>
  <c r="AJ22" i="1"/>
  <c r="C37" i="1" l="1"/>
  <c r="C38" i="1"/>
  <c r="C39" i="1"/>
  <c r="AP6" i="1"/>
  <c r="AO22" i="1"/>
  <c r="C34" i="1"/>
  <c r="AN22" i="1"/>
  <c r="AP22" i="1" l="1"/>
  <c r="C30" i="1"/>
  <c r="C2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<sst xmlns="http://schemas.openxmlformats.org/spreadsheetml/2006/main" count="616" uniqueCount="86">
  <si>
    <t>Name</t>
  </si>
  <si>
    <t>Arun</t>
  </si>
  <si>
    <t>Krish</t>
  </si>
  <si>
    <t>Manju</t>
  </si>
  <si>
    <t>Dhinesh Kumar</t>
  </si>
  <si>
    <t>Vicky</t>
  </si>
  <si>
    <t>Jothish</t>
  </si>
  <si>
    <t>Hari</t>
  </si>
  <si>
    <t>Ramya</t>
  </si>
  <si>
    <t>Sobana</t>
  </si>
  <si>
    <t>Kannan</t>
  </si>
  <si>
    <t>Jeeva</t>
  </si>
  <si>
    <t>Karthi</t>
  </si>
  <si>
    <t>Renuka</t>
  </si>
  <si>
    <t>Boomika</t>
  </si>
  <si>
    <t>Surya</t>
  </si>
  <si>
    <t>Role</t>
  </si>
  <si>
    <t>Data Analyst</t>
  </si>
  <si>
    <t>Cloud Engineer</t>
  </si>
  <si>
    <t>Test Engineer</t>
  </si>
  <si>
    <t>Business Analyst</t>
  </si>
  <si>
    <t>Data Engineer</t>
  </si>
  <si>
    <t>QA Analyst</t>
  </si>
  <si>
    <t>Devops Engineer</t>
  </si>
  <si>
    <t>Per Day Salary</t>
  </si>
  <si>
    <t>1-SAT</t>
  </si>
  <si>
    <t>2-SUN</t>
  </si>
  <si>
    <t>3-MON</t>
  </si>
  <si>
    <t>4-TUES</t>
  </si>
  <si>
    <t>5-WED</t>
  </si>
  <si>
    <t>6-THURS</t>
  </si>
  <si>
    <t>7-FRI</t>
  </si>
  <si>
    <t>8-SAT</t>
  </si>
  <si>
    <t>9-SUN</t>
  </si>
  <si>
    <t>10-MON</t>
  </si>
  <si>
    <t>11-TUE</t>
  </si>
  <si>
    <t>12-WED</t>
  </si>
  <si>
    <t>13-THU</t>
  </si>
  <si>
    <t>14-FRI</t>
  </si>
  <si>
    <t>15-SAT</t>
  </si>
  <si>
    <t>16-SUN</t>
  </si>
  <si>
    <t>17-MON</t>
  </si>
  <si>
    <t>18-TUE</t>
  </si>
  <si>
    <t>19-WED</t>
  </si>
  <si>
    <t>20-THU</t>
  </si>
  <si>
    <t>21-FRI</t>
  </si>
  <si>
    <t>22-SAT</t>
  </si>
  <si>
    <t>23-SUN</t>
  </si>
  <si>
    <t>24-MON</t>
  </si>
  <si>
    <t>25-TUE</t>
  </si>
  <si>
    <t>26-WED</t>
  </si>
  <si>
    <t>27-THU</t>
  </si>
  <si>
    <t>28-FRI</t>
  </si>
  <si>
    <t>29-SAT</t>
  </si>
  <si>
    <t>30-SUN</t>
  </si>
  <si>
    <t>P</t>
  </si>
  <si>
    <t>A</t>
  </si>
  <si>
    <t>LA</t>
  </si>
  <si>
    <t>Present Day</t>
  </si>
  <si>
    <t>Absent Day</t>
  </si>
  <si>
    <t>Salary(PD)</t>
  </si>
  <si>
    <t>Total WDay</t>
  </si>
  <si>
    <t>Attendence%</t>
  </si>
  <si>
    <t>Salary(TM)</t>
  </si>
  <si>
    <t>Bonus %</t>
  </si>
  <si>
    <t>Bonus Amount</t>
  </si>
  <si>
    <t>Total Salary</t>
  </si>
  <si>
    <t>Performance</t>
  </si>
  <si>
    <t>Present Per Day</t>
  </si>
  <si>
    <t>Absent Per Day</t>
  </si>
  <si>
    <t>Min Salary</t>
  </si>
  <si>
    <t>Max Salary</t>
  </si>
  <si>
    <t>Total Employee Count</t>
  </si>
  <si>
    <t>Total Expenses</t>
  </si>
  <si>
    <t>Total Actual Salary</t>
  </si>
  <si>
    <t>Avg Present %</t>
  </si>
  <si>
    <t>Month Total Salary</t>
  </si>
  <si>
    <t>Month Total Bonus</t>
  </si>
  <si>
    <t>₹ 30,375.00</t>
  </si>
  <si>
    <t>Excellent</t>
  </si>
  <si>
    <t>Average</t>
  </si>
  <si>
    <t>Poor</t>
  </si>
  <si>
    <t>Count Of Performance</t>
  </si>
  <si>
    <t>Roles</t>
  </si>
  <si>
    <t>No.of Employee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</si>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</sst>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 Black"/>
      <family val="2"/>
    </font>
    <font>
      <b/>
      <sz val="11"/>
      <color theme="1"/>
      <name val="Arial Black"/>
      <family val="2"/>
    </font>
    <font>
      <sz val="8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rial Black"/>
      <family val="2"/>
    </font>
    <font>
      <sz val="11"/>
      <color theme="1" tint="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164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7" fillId="2" borderId="0" xfId="0" applyNumberFormat="1" applyFont="1" applyFill="1"/>
    <xf numFmtId="164" fontId="6" fillId="2" borderId="0" xfId="0" applyNumberFormat="1" applyFont="1" applyFill="1"/>
    <xf numFmtId="0" fontId="6" fillId="2" borderId="0" xfId="0" applyFont="1" applyFill="1"/>
    <xf numFmtId="164" fontId="8" fillId="3" borderId="0" xfId="0" applyNumberFormat="1" applyFont="1" applyFill="1" applyAlignment="1">
      <alignment horizontal="right"/>
    </xf>
    <xf numFmtId="164" fontId="8" fillId="0" borderId="0" xfId="0" applyNumberFormat="1" applyFont="1"/>
    <xf numFmtId="3" fontId="8" fillId="0" borderId="0" xfId="0" applyNumberFormat="1" applyFont="1"/>
    <xf numFmtId="0" fontId="9" fillId="2" borderId="0" xfId="0" applyFont="1" applyFill="1"/>
    <xf numFmtId="10" fontId="8" fillId="0" borderId="0" xfId="0" applyNumberFormat="1" applyFont="1"/>
    <xf numFmtId="3" fontId="0" fillId="0" borderId="0" xfId="0" applyNumberFormat="1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2" xfId="0" applyFont="1" applyBorder="1"/>
    <xf numFmtId="0" fontId="0" fillId="0" borderId="1" xfId="0" applyFont="1" applyBorder="1"/>
    <xf numFmtId="0" fontId="10" fillId="2" borderId="0" xfId="0" applyFont="1" applyFill="1"/>
    <xf numFmtId="164" fontId="10" fillId="2" borderId="0" xfId="0" applyNumberFormat="1" applyFont="1" applyFill="1"/>
    <xf numFmtId="3" fontId="10" fillId="2" borderId="0" xfId="0" applyNumberFormat="1" applyFont="1" applyFill="1" applyAlignment="1">
      <alignment horizontal="center"/>
    </xf>
    <xf numFmtId="0" fontId="11" fillId="4" borderId="2" xfId="0" applyFont="1" applyFill="1" applyBorder="1"/>
    <xf numFmtId="0" fontId="11" fillId="4" borderId="1" xfId="0" applyFont="1" applyFill="1" applyBorder="1"/>
    <xf numFmtId="164" fontId="11" fillId="4" borderId="1" xfId="0" applyNumberFormat="1" applyFont="1" applyFill="1" applyBorder="1"/>
    <xf numFmtId="0" fontId="11" fillId="4" borderId="1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Font="1" applyBorder="1"/>
    <xf numFmtId="0" fontId="0" fillId="0" borderId="3" xfId="0" applyFont="1" applyBorder="1" applyAlignment="1">
      <alignment horizontal="center"/>
    </xf>
  </cellXfs>
  <cellStyles count="1">
    <cellStyle name="Normal" xfId="0" builtinId="0"/>
  </cellStyles>
  <dxfs count="112"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164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numFmt numFmtId="164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numFmt numFmtId="164" formatCode="&quot;₹&quot;\ #,##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₹&quot;\ #,##0.00"/>
    </dxf>
    <dxf>
      <numFmt numFmtId="164" formatCode="&quot;₹&quot;\ #,##0.0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&quot;₹&quot;\ #,##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₹&quot;\ #,##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5880</xdr:colOff>
      <xdr:row>0</xdr:row>
      <xdr:rowOff>0</xdr:rowOff>
    </xdr:from>
    <xdr:to>
      <xdr:col>43</xdr:col>
      <xdr:colOff>5880</xdr:colOff>
      <xdr:row>2</xdr:row>
      <xdr:rowOff>288102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691F6B9-1BA5-1C73-EB8B-A94340C4C3E6}"/>
            </a:ext>
          </a:extLst>
        </xdr:cNvPr>
        <xdr:cNvSpPr/>
      </xdr:nvSpPr>
      <xdr:spPr>
        <a:xfrm>
          <a:off x="5880" y="0"/>
          <a:ext cx="31773519" cy="652639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399815</xdr:colOff>
      <xdr:row>0</xdr:row>
      <xdr:rowOff>35277</xdr:rowOff>
    </xdr:from>
    <xdr:ext cx="16950972" cy="52636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98FF979-F232-2C96-71E3-B933240DD80F}"/>
            </a:ext>
          </a:extLst>
        </xdr:cNvPr>
        <xdr:cNvSpPr txBox="1"/>
      </xdr:nvSpPr>
      <xdr:spPr>
        <a:xfrm>
          <a:off x="3774722" y="35277"/>
          <a:ext cx="16950972" cy="526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2400">
              <a:solidFill>
                <a:schemeClr val="bg1"/>
              </a:solidFill>
              <a:latin typeface="Arial Black" panose="020B0A04020102020204" pitchFamily="34" charset="0"/>
            </a:rPr>
            <a:t>2025</a:t>
          </a:r>
          <a:r>
            <a:rPr lang="en-IN" sz="2400" baseline="0">
              <a:solidFill>
                <a:schemeClr val="bg1"/>
              </a:solidFill>
              <a:latin typeface="Arial Black" panose="020B0A04020102020204" pitchFamily="34" charset="0"/>
            </a:rPr>
            <a:t>     EMPLOYEE     ATTENDANCE     MANAGEMENT</a:t>
          </a:r>
          <a:endParaRPr lang="en-IN" sz="24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710FA4-4F2C-4F65-9953-CAF201A19572}" name="Table1" displayName="Table1" ref="A5:AQ20" totalsRowShown="0">
  <autoFilter ref="A5:AQ20" xr:uid="{16710FA4-4F2C-4F65-9953-CAF201A1957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</autoFilter>
  <tableColumns count="43">
    <tableColumn id="1" xr3:uid="{334CBE33-AC24-438B-A7D5-3B023B3D7166}" name="Name"/>
    <tableColumn id="2" xr3:uid="{21B664D3-DA26-4290-828F-A4EBA6E84FBE}" name="Role"/>
    <tableColumn id="3" xr3:uid="{DC0BE057-85B1-48F4-B477-FDC125A5C511}" name="Per Day Salary" dataDxfId="111"/>
    <tableColumn id="4" xr3:uid="{9FF05171-8895-4815-8874-C811BD2EC0A3}" name="1-SAT" dataDxfId="110"/>
    <tableColumn id="5" xr3:uid="{CC992653-04C6-48D5-994D-07D1B150C1F3}" name="2-SUN" dataDxfId="109"/>
    <tableColumn id="6" xr3:uid="{1B92CBBB-D5E2-494C-B867-96D6162EB2AA}" name="3-MON" dataDxfId="108"/>
    <tableColumn id="7" xr3:uid="{5E280CFE-DE11-47D1-A4AA-7BAF95EE3264}" name="4-TUES" dataDxfId="107"/>
    <tableColumn id="8" xr3:uid="{41DA7D25-8CAE-4C04-947D-32601321EE97}" name="5-WED" dataDxfId="106"/>
    <tableColumn id="9" xr3:uid="{34BB03D2-9C72-4A96-B839-83F960AC40CF}" name="6-THURS" dataDxfId="105"/>
    <tableColumn id="10" xr3:uid="{A54DE1FB-3535-4746-8712-5A734E68C270}" name="7-FRI" dataDxfId="104"/>
    <tableColumn id="11" xr3:uid="{8FCA456A-EE26-449A-90F9-71B567AD046F}" name="8-SAT" dataDxfId="103"/>
    <tableColumn id="12" xr3:uid="{3D6C74C0-CE87-4C57-B958-3BDF1E081F50}" name="9-SUN" dataDxfId="102"/>
    <tableColumn id="13" xr3:uid="{E6F626AC-1224-423F-B38D-874F96C1AAD1}" name="10-MON" dataDxfId="101"/>
    <tableColumn id="14" xr3:uid="{DA8E9382-A0F9-4130-8F29-B20683AEA657}" name="11-TUE" dataDxfId="100"/>
    <tableColumn id="15" xr3:uid="{C42DEA87-580A-485F-BAFE-40500B906B72}" name="12-WED" dataDxfId="99"/>
    <tableColumn id="16" xr3:uid="{BFF0DF07-959F-47C4-B89A-6F51728183E4}" name="13-THU" dataDxfId="98"/>
    <tableColumn id="17" xr3:uid="{B739B908-DC43-406F-A827-85F3434BFFA3}" name="14-FRI" dataDxfId="97"/>
    <tableColumn id="18" xr3:uid="{7AF1CBC9-E54F-485F-B952-B95EE1CD818F}" name="15-SAT" dataDxfId="96"/>
    <tableColumn id="19" xr3:uid="{1AED5EF8-7D73-4799-8A3F-39FF73C7B2A6}" name="16-SUN" dataDxfId="95"/>
    <tableColumn id="20" xr3:uid="{54EAE08A-173B-43F6-B38C-FAAC41E72852}" name="17-MON" dataDxfId="94"/>
    <tableColumn id="21" xr3:uid="{370E9EFB-F4AF-43ED-B10F-E1BE9646A9C9}" name="18-TUE" dataDxfId="93"/>
    <tableColumn id="22" xr3:uid="{B9122E98-F767-4C22-B426-185BA4CD4F81}" name="19-WED" dataDxfId="92"/>
    <tableColumn id="23" xr3:uid="{B339348A-8DD5-4255-A733-B6CF7E45864A}" name="20-THU" dataDxfId="91"/>
    <tableColumn id="24" xr3:uid="{17EB7557-5DEC-494E-8420-F90777C33C8A}" name="21-FRI" dataDxfId="90"/>
    <tableColumn id="25" xr3:uid="{A284BDE2-87CA-4804-832B-E920620AAB76}" name="22-SAT" dataDxfId="89"/>
    <tableColumn id="26" xr3:uid="{355C25CE-1678-443D-BF27-2C4A0B2AAB43}" name="23-SUN" dataDxfId="88"/>
    <tableColumn id="27" xr3:uid="{FB665676-467A-438F-B065-2F394578F1EB}" name="24-MON" dataDxfId="87"/>
    <tableColumn id="28" xr3:uid="{5B0494FE-9409-4375-A074-8C57DA34FC09}" name="25-TUE" dataDxfId="86"/>
    <tableColumn id="29" xr3:uid="{1BBF4105-08AA-44DF-A64B-5031F659025B}" name="26-WED" dataDxfId="85"/>
    <tableColumn id="30" xr3:uid="{58C6B21E-F431-499C-AF00-AFE14251A091}" name="27-THU" dataDxfId="84"/>
    <tableColumn id="31" xr3:uid="{7B9C4549-C9B8-4906-B312-5A45018682E1}" name="28-FRI" dataDxfId="83"/>
    <tableColumn id="32" xr3:uid="{9D26C6D2-AB22-4CE8-9320-036EA8A86C9C}" name="29-SAT" dataDxfId="82"/>
    <tableColumn id="33" xr3:uid="{0E7F01A9-D0FA-41C8-A794-9D82F1E168EA}" name="30-SUN" dataDxfId="81"/>
    <tableColumn id="34" xr3:uid="{838F9A35-DD2C-49CB-9E2C-7553850B57F1}" name="Present Day" dataDxfId="80">
      <calculatedColumnFormula>COUNTIF(D6:AG6,"P")</calculatedColumnFormula>
    </tableColumn>
    <tableColumn id="35" xr3:uid="{B111F069-557B-49BF-9730-47208FA967E4}" name="Absent Day" dataDxfId="79">
      <calculatedColumnFormula>COUNTIF(D6:AG6,"A")</calculatedColumnFormula>
    </tableColumn>
    <tableColumn id="36" xr3:uid="{ACC2AE7E-D71A-4213-B2D7-0C28A96A5C4E}" name="Salary(PD)" dataDxfId="78">
      <calculatedColumnFormula>PRODUCT(AH6,C6)</calculatedColumnFormula>
    </tableColumn>
    <tableColumn id="37" xr3:uid="{74274336-C157-4B18-B242-4CEF7F53C41B}" name="Total WDay" dataDxfId="77"/>
    <tableColumn id="38" xr3:uid="{470A5D05-3F77-45AE-B510-68D18BE32BDE}" name="Attendence%" dataDxfId="76">
      <calculatedColumnFormula>AH6/AK6 * 100</calculatedColumnFormula>
    </tableColumn>
    <tableColumn id="39" xr3:uid="{21DDD63B-9F41-480E-A836-05B5CA5149D0}" name="Salary(TM)" dataDxfId="75">
      <calculatedColumnFormula>PRODUCT(AK6,C6)</calculatedColumnFormula>
    </tableColumn>
    <tableColumn id="40" xr3:uid="{8651EC16-D2D4-4A2D-AF78-53277524984A}" name="Bonus %" dataDxfId="74">
      <calculatedColumnFormula>IF(AL6&gt;=90,10,IF(AL6&gt;=85,8,IF(AL6&gt;=75,5,0)))</calculatedColumnFormula>
    </tableColumn>
    <tableColumn id="41" xr3:uid="{6A49E70E-4899-435F-ABD6-0548C83421D3}" name="Bonus Amount" dataDxfId="73">
      <calculatedColumnFormula xml:space="preserve"> AM6 * (AN6 / 100)</calculatedColumnFormula>
    </tableColumn>
    <tableColumn id="42" xr3:uid="{3D1AC2E1-9B17-410E-91B2-E8158B7114B4}" name="Total Salary" dataDxfId="72">
      <calculatedColumnFormula>SUM(AJ6+AO6)</calculatedColumnFormula>
    </tableColumn>
    <tableColumn id="43" xr3:uid="{00246A71-E290-43AB-89B7-8750A92E2574}" name="Performance" dataDxfId="71">
      <calculatedColumnFormula>IF(AL6=100,"Excellent",IF(AL6&gt;=90,"Good",IF(AL6&gt;=80,"Average","Poor")))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2F0019-F399-4633-AD04-0628A5E88205}" name="Table2" displayName="Table2" ref="C23:AG24" headerRowCount="0" totalsRowShown="0" headerRowDxfId="70" dataDxfId="69">
  <tableColumns count="31">
    <tableColumn id="1" xr3:uid="{A2C16ED1-0403-4EE6-B847-A3CA90D1D276}" name="Column1" headerRowDxfId="68" dataDxfId="67"/>
    <tableColumn id="2" xr3:uid="{262DD5D8-2FE9-4783-BB96-9A7DCBC65E8C}" name="Column2" headerRowDxfId="66" dataDxfId="65">
      <calculatedColumnFormula>COUNTIF(D5:D19,"A")</calculatedColumnFormula>
    </tableColumn>
    <tableColumn id="3" xr3:uid="{36E1E3DA-1C9E-495F-8946-33C9500D2360}" name="Column3" headerRowDxfId="64" dataDxfId="63"/>
    <tableColumn id="4" xr3:uid="{21EC0240-77DE-409E-B7AD-CD8390B3E7C8}" name="Column4" headerRowDxfId="62" dataDxfId="61">
      <calculatedColumnFormula>COUNTIF(F5:F19,"A")</calculatedColumnFormula>
    </tableColumn>
    <tableColumn id="5" xr3:uid="{46F6E389-6AA5-4921-9F28-7D12E60B2444}" name="Column5" headerRowDxfId="60" dataDxfId="59">
      <calculatedColumnFormula>COUNTIF(G5:G19,"A")</calculatedColumnFormula>
    </tableColumn>
    <tableColumn id="6" xr3:uid="{165E15AD-1BBF-4AA8-9C90-0A46717182AD}" name="Column6" headerRowDxfId="58" dataDxfId="57">
      <calculatedColumnFormula>COUNTIF(H5:H19,"A")</calculatedColumnFormula>
    </tableColumn>
    <tableColumn id="7" xr3:uid="{4B22E4BD-17D6-480E-BB31-627F1504C35B}" name="Column7" headerRowDxfId="56" dataDxfId="55">
      <calculatedColumnFormula>COUNTIF(I5:I19,"A")</calculatedColumnFormula>
    </tableColumn>
    <tableColumn id="8" xr3:uid="{3E2E30AF-3B27-42A0-825B-313DE867EED2}" name="Column8" headerRowDxfId="54" dataDxfId="53">
      <calculatedColumnFormula>COUNTIF(J5:J19,"A")</calculatedColumnFormula>
    </tableColumn>
    <tableColumn id="9" xr3:uid="{13B3D72B-6533-4D0D-AC96-E2B49B49D8F3}" name="Column9" headerRowDxfId="52" dataDxfId="51">
      <calculatedColumnFormula>COUNTIF(K5:K19,"A")</calculatedColumnFormula>
    </tableColumn>
    <tableColumn id="10" xr3:uid="{2AD842EE-57E1-439D-8F30-7B45D580A5D1}" name="Column10" headerRowDxfId="50" dataDxfId="49"/>
    <tableColumn id="11" xr3:uid="{57715C9F-4EDB-4722-AE80-B4CF0741B3B3}" name="Column11" headerRowDxfId="48" dataDxfId="47">
      <calculatedColumnFormula>COUNTIF(M5:M19,"A")</calculatedColumnFormula>
    </tableColumn>
    <tableColumn id="12" xr3:uid="{1A998997-857F-4479-B18A-7B678B7792B0}" name="Column12" headerRowDxfId="46" dataDxfId="45">
      <calculatedColumnFormula>COUNTIF(N5:N19,"A")</calculatedColumnFormula>
    </tableColumn>
    <tableColumn id="13" xr3:uid="{6A9BFB40-D2B7-4F9C-8B70-89E91B7C1AD6}" name="Column13" headerRowDxfId="44" dataDxfId="43">
      <calculatedColumnFormula>COUNTIF(O5:O19,"A")</calculatedColumnFormula>
    </tableColumn>
    <tableColumn id="14" xr3:uid="{0531A0B6-6348-4B13-BE6A-656C562147F1}" name="Column14" headerRowDxfId="42" dataDxfId="41">
      <calculatedColumnFormula>COUNTIF(P5:P19,"A")</calculatedColumnFormula>
    </tableColumn>
    <tableColumn id="15" xr3:uid="{98D00D2E-AFBF-4F09-AD6C-6211D35758EA}" name="Column15" headerRowDxfId="40" dataDxfId="39">
      <calculatedColumnFormula>COUNTIF(Q5:Q19,"A")</calculatedColumnFormula>
    </tableColumn>
    <tableColumn id="16" xr3:uid="{37617662-95A6-4CB8-9C50-9C85850A2E00}" name="Column16" headerRowDxfId="38" dataDxfId="37">
      <calculatedColumnFormula>COUNTIF(R5:R19,"A")</calculatedColumnFormula>
    </tableColumn>
    <tableColumn id="17" xr3:uid="{924EAD3F-F820-4C18-A531-55BF34264738}" name="Column17" headerRowDxfId="36" dataDxfId="35"/>
    <tableColumn id="18" xr3:uid="{DC75A688-9D92-4CF5-B014-DE7AF666B9BE}" name="Column18" headerRowDxfId="34" dataDxfId="33">
      <calculatedColumnFormula>COUNTIF(T5:T19,"A")</calculatedColumnFormula>
    </tableColumn>
    <tableColumn id="19" xr3:uid="{AD43AC68-92D7-49FE-A039-A0E36E9BC5AB}" name="Column19" headerRowDxfId="32" dataDxfId="31">
      <calculatedColumnFormula>COUNTIF(U5:U19,"A")</calculatedColumnFormula>
    </tableColumn>
    <tableColumn id="20" xr3:uid="{2C03D232-FB44-4D81-BC75-BC2D63FC90CC}" name="Column20" headerRowDxfId="30" dataDxfId="29">
      <calculatedColumnFormula>COUNTIF(V5:V19,"A")</calculatedColumnFormula>
    </tableColumn>
    <tableColumn id="21" xr3:uid="{C843F5A5-B8DA-4717-913B-4E753A511423}" name="Column21" headerRowDxfId="28" dataDxfId="27">
      <calculatedColumnFormula>COUNTIF(W5:W19,"A")</calculatedColumnFormula>
    </tableColumn>
    <tableColumn id="22" xr3:uid="{065B4894-8ADF-4BDA-85A9-85A91DFCDB12}" name="Column22" headerRowDxfId="26" dataDxfId="25">
      <calculatedColumnFormula>COUNTIF(X5:X19,"A")</calculatedColumnFormula>
    </tableColumn>
    <tableColumn id="23" xr3:uid="{C9E646E6-E4ED-4966-A189-C1DC1DBF01EB}" name="Column23" headerRowDxfId="24" dataDxfId="23">
      <calculatedColumnFormula>COUNTIF(Y5:Y19,"A")</calculatedColumnFormula>
    </tableColumn>
    <tableColumn id="24" xr3:uid="{6C984536-E63F-46B7-89C0-D505958AD8F6}" name="Column24" headerRowDxfId="22" dataDxfId="21"/>
    <tableColumn id="25" xr3:uid="{C0BA941D-C390-41D9-A564-75C81EE8023B}" name="Column25" headerRowDxfId="20" dataDxfId="19">
      <calculatedColumnFormula>COUNTIF(AA5:AA19,"A")</calculatedColumnFormula>
    </tableColumn>
    <tableColumn id="26" xr3:uid="{18D68ED3-D16F-4E1B-8599-FF8872249565}" name="Column26" headerRowDxfId="18" dataDxfId="17">
      <calculatedColumnFormula>COUNTIF(AB5:AB19,"A")</calculatedColumnFormula>
    </tableColumn>
    <tableColumn id="27" xr3:uid="{B0311658-DAEA-4DC7-8B55-5F7043B5BB83}" name="Column27" headerRowDxfId="16" dataDxfId="15">
      <calculatedColumnFormula>COUNTIF(AC5:AC19,"A")</calculatedColumnFormula>
    </tableColumn>
    <tableColumn id="28" xr3:uid="{9A287817-4E5E-4BE6-B5CA-C2201C086409}" name="Column28" headerRowDxfId="14" dataDxfId="13">
      <calculatedColumnFormula>COUNTIF(AD5:AD19,"A")</calculatedColumnFormula>
    </tableColumn>
    <tableColumn id="29" xr3:uid="{1FAC3525-6151-4BE6-B562-E6B5B09210EA}" name="Column29" headerRowDxfId="12" dataDxfId="11">
      <calculatedColumnFormula>COUNTIF(AE5:AE19,"A")</calculatedColumnFormula>
    </tableColumn>
    <tableColumn id="30" xr3:uid="{48A56B6A-6E65-42EE-8B5C-B54785DA7D54}" name="Column30" headerRowDxfId="10" dataDxfId="9">
      <calculatedColumnFormula>COUNTIF(AF5:AF19,"A")</calculatedColumnFormula>
    </tableColumn>
    <tableColumn id="31" xr3:uid="{A5890769-581B-4568-828B-7B6DD34B70F1}" name="Column31" headerRowDxfId="8" dataDxfId="7"/>
  </tableColumns>
  <tableStyleInfo name="TableStyleLight8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79529B-B202-41FB-99CC-A3740F5CCCBD}" name="Table3" displayName="Table3" ref="B27:C34" totalsRowShown="0">
  <autoFilter ref="B27:C34" xr:uid="{3579529B-B202-41FB-99CC-A3740F5CCCBD}">
    <filterColumn colId="0" hiddenButton="1"/>
    <filterColumn colId="1" hiddenButton="1"/>
  </autoFilter>
  <tableColumns count="2">
    <tableColumn id="1" xr3:uid="{249EB370-F388-4847-99FD-3506F1EB03CC}" name="Min Salary" dataDxfId="6"/>
    <tableColumn id="2" xr3:uid="{BA53973D-601B-4255-A20C-83669EF35337}" name="₹ 30,375.00" dataDxfId="5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3945BA-0DE2-4238-AB49-29622511E534}" name="Table4" displayName="Table4" ref="B37:C39" headerRowCount="0" totalsRowShown="0" headerRowDxfId="4">
  <tableColumns count="2">
    <tableColumn id="1" xr3:uid="{CEADA3F8-F07B-489C-847A-0DDF5409C9A6}" name="Count of Performence" headerRowDxfId="3" dataDxfId="2"/>
    <tableColumn id="2" xr3:uid="{6AD9A123-B636-4B29-A0C2-FDB50F686F29}" name="Column1" headerRowDxfId="1" dataDxfId="0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7833-6256-4DA5-A0EC-E439AB1693E6}">
  <dimension ref="A3:AQ48"/>
  <sheetViews>
    <sheetView tabSelected="1" zoomScale="108" zoomScaleNormal="108" workbookViewId="0">
      <selection activeCell="A48" sqref="A48"/>
    </sheetView>
  </sheetViews>
  <sheetFormatPr defaultRowHeight="14.5" x14ac:dyDescent="0.35"/>
  <cols>
    <col min="1" max="1" width="13.54296875" customWidth="1"/>
    <col min="2" max="2" width="21.26953125" customWidth="1"/>
    <col min="3" max="3" width="18.81640625" style="4" customWidth="1"/>
    <col min="4" max="4" width="17" customWidth="1"/>
    <col min="5" max="5" width="14.7265625" customWidth="1"/>
    <col min="6" max="6" width="14.453125" customWidth="1"/>
    <col min="7" max="7" width="16.54296875" customWidth="1"/>
    <col min="8" max="8" width="16.7265625" customWidth="1"/>
    <col min="9" max="9" width="12.453125" customWidth="1"/>
    <col min="10" max="11" width="10.1796875" customWidth="1"/>
    <col min="12" max="12" width="11.1796875" customWidth="1"/>
    <col min="13" max="13" width="11.26953125" customWidth="1"/>
    <col min="14" max="19" width="11.1796875" customWidth="1"/>
    <col min="20" max="20" width="11.26953125" customWidth="1"/>
    <col min="21" max="26" width="11.1796875" customWidth="1"/>
    <col min="27" max="27" width="11.26953125" customWidth="1"/>
    <col min="28" max="32" width="11.1796875" customWidth="1"/>
    <col min="33" max="33" width="10.81640625" customWidth="1"/>
    <col min="34" max="34" width="16.08984375" customWidth="1"/>
    <col min="35" max="35" width="15.36328125" customWidth="1"/>
    <col min="36" max="36" width="14.81640625" style="4" customWidth="1"/>
    <col min="37" max="37" width="15.26953125" customWidth="1"/>
    <col min="38" max="38" width="17.54296875" customWidth="1"/>
    <col min="39" max="39" width="14.453125" style="4" customWidth="1"/>
    <col min="40" max="40" width="12.1796875" style="5" customWidth="1"/>
    <col min="41" max="41" width="18.7265625" customWidth="1"/>
    <col min="42" max="42" width="16" customWidth="1"/>
    <col min="43" max="43" width="16.7265625" style="5" customWidth="1"/>
  </cols>
  <sheetData>
    <row r="3" spans="1:43" ht="18" customHeight="1" x14ac:dyDescent="0.35"/>
    <row r="4" spans="1:43" ht="14.5" customHeight="1" x14ac:dyDescent="0.35"/>
    <row r="5" spans="1:43" ht="17" x14ac:dyDescent="0.5">
      <c r="A5" s="2" t="s">
        <v>0</v>
      </c>
      <c r="B5" s="1" t="s">
        <v>16</v>
      </c>
      <c r="C5" s="3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31</v>
      </c>
      <c r="K5" s="1" t="s">
        <v>32</v>
      </c>
      <c r="L5" s="1" t="s">
        <v>33</v>
      </c>
      <c r="M5" s="1" t="s">
        <v>34</v>
      </c>
      <c r="N5" s="1" t="s">
        <v>35</v>
      </c>
      <c r="O5" s="1" t="s">
        <v>36</v>
      </c>
      <c r="P5" s="1" t="s">
        <v>37</v>
      </c>
      <c r="Q5" s="1" t="s">
        <v>38</v>
      </c>
      <c r="R5" s="1" t="s">
        <v>39</v>
      </c>
      <c r="S5" s="1" t="s">
        <v>40</v>
      </c>
      <c r="T5" s="1" t="s">
        <v>41</v>
      </c>
      <c r="U5" s="1" t="s">
        <v>42</v>
      </c>
      <c r="V5" s="1" t="s">
        <v>43</v>
      </c>
      <c r="W5" s="1" t="s">
        <v>44</v>
      </c>
      <c r="X5" s="1" t="s">
        <v>45</v>
      </c>
      <c r="Y5" s="1" t="s">
        <v>46</v>
      </c>
      <c r="Z5" s="1" t="s">
        <v>47</v>
      </c>
      <c r="AA5" s="1" t="s">
        <v>48</v>
      </c>
      <c r="AB5" s="1" t="s">
        <v>49</v>
      </c>
      <c r="AC5" s="1" t="s">
        <v>50</v>
      </c>
      <c r="AD5" s="1" t="s">
        <v>51</v>
      </c>
      <c r="AE5" s="1" t="s">
        <v>52</v>
      </c>
      <c r="AF5" s="1" t="s">
        <v>53</v>
      </c>
      <c r="AG5" s="1" t="s">
        <v>54</v>
      </c>
      <c r="AH5" s="1" t="s">
        <v>58</v>
      </c>
      <c r="AI5" s="1" t="s">
        <v>59</v>
      </c>
      <c r="AJ5" s="3" t="s">
        <v>60</v>
      </c>
      <c r="AK5" s="1" t="s">
        <v>61</v>
      </c>
      <c r="AL5" s="1" t="s">
        <v>62</v>
      </c>
      <c r="AM5" s="3" t="s">
        <v>63</v>
      </c>
      <c r="AN5" s="9" t="s">
        <v>64</v>
      </c>
      <c r="AO5" s="1" t="s">
        <v>65</v>
      </c>
      <c r="AP5" s="1" t="s">
        <v>66</v>
      </c>
      <c r="AQ5" s="9" t="s">
        <v>67</v>
      </c>
    </row>
    <row r="6" spans="1:43" x14ac:dyDescent="0.35">
      <c r="A6" t="s">
        <v>1</v>
      </c>
      <c r="B6" t="s">
        <v>17</v>
      </c>
      <c r="C6" s="10">
        <v>1500</v>
      </c>
      <c r="D6" s="6" t="s">
        <v>55</v>
      </c>
      <c r="E6" s="5" t="s">
        <v>57</v>
      </c>
      <c r="F6" s="6" t="s">
        <v>55</v>
      </c>
      <c r="G6" s="6" t="s">
        <v>55</v>
      </c>
      <c r="H6" s="6" t="s">
        <v>55</v>
      </c>
      <c r="I6" s="6" t="s">
        <v>55</v>
      </c>
      <c r="J6" s="6" t="s">
        <v>55</v>
      </c>
      <c r="K6" s="6" t="s">
        <v>55</v>
      </c>
      <c r="L6" s="5" t="s">
        <v>57</v>
      </c>
      <c r="M6" s="6" t="s">
        <v>55</v>
      </c>
      <c r="N6" s="6" t="s">
        <v>55</v>
      </c>
      <c r="O6" s="7" t="s">
        <v>56</v>
      </c>
      <c r="P6" s="6" t="s">
        <v>55</v>
      </c>
      <c r="Q6" s="6" t="s">
        <v>55</v>
      </c>
      <c r="R6" s="6" t="s">
        <v>55</v>
      </c>
      <c r="S6" s="5" t="s">
        <v>57</v>
      </c>
      <c r="T6" s="6" t="s">
        <v>55</v>
      </c>
      <c r="U6" s="7" t="s">
        <v>56</v>
      </c>
      <c r="V6" s="7" t="s">
        <v>56</v>
      </c>
      <c r="W6" s="7" t="s">
        <v>56</v>
      </c>
      <c r="X6" s="7" t="s">
        <v>56</v>
      </c>
      <c r="Y6" s="6" t="s">
        <v>55</v>
      </c>
      <c r="Z6" s="5" t="s">
        <v>57</v>
      </c>
      <c r="AA6" s="6" t="s">
        <v>55</v>
      </c>
      <c r="AB6" s="6" t="s">
        <v>55</v>
      </c>
      <c r="AC6" s="6" t="s">
        <v>55</v>
      </c>
      <c r="AD6" s="6" t="s">
        <v>55</v>
      </c>
      <c r="AE6" s="6" t="s">
        <v>55</v>
      </c>
      <c r="AF6" s="7" t="s">
        <v>56</v>
      </c>
      <c r="AG6" s="5" t="s">
        <v>57</v>
      </c>
      <c r="AH6" s="5">
        <f>COUNTIF(D6:AG6,"P")</f>
        <v>19</v>
      </c>
      <c r="AI6" s="5">
        <f>COUNTIF(D6:AG6,"A")</f>
        <v>6</v>
      </c>
      <c r="AJ6" s="4">
        <f>PRODUCT(AH6,C6)</f>
        <v>28500</v>
      </c>
      <c r="AK6" s="5">
        <v>25</v>
      </c>
      <c r="AL6" s="5">
        <f>AH6/AK6 * 100</f>
        <v>76</v>
      </c>
      <c r="AM6" s="4">
        <f>PRODUCT(AK6,C6)</f>
        <v>37500</v>
      </c>
      <c r="AN6" s="5">
        <f>IF(AL6&gt;=90,10,IF(AL6&gt;=85,8,IF(AL6&gt;=75,5,0)))</f>
        <v>5</v>
      </c>
      <c r="AO6" s="4">
        <f xml:space="preserve"> AM6 * (AN6 / 100)</f>
        <v>1875</v>
      </c>
      <c r="AP6" s="4">
        <f>SUM(AJ6+AO6)</f>
        <v>30375</v>
      </c>
      <c r="AQ6" s="5" t="str">
        <f>IF(AL6=100,"Excellent",IF(AL6&gt;=90,"Good",IF(AL6&gt;=80,"Average","Poor")))</f>
        <v>Poor</v>
      </c>
    </row>
    <row r="7" spans="1:43" x14ac:dyDescent="0.35">
      <c r="A7" t="s">
        <v>2</v>
      </c>
      <c r="B7" t="s">
        <v>18</v>
      </c>
      <c r="C7" s="10">
        <v>3000</v>
      </c>
      <c r="D7" s="6" t="s">
        <v>55</v>
      </c>
      <c r="E7" s="5" t="s">
        <v>57</v>
      </c>
      <c r="F7" s="6" t="s">
        <v>55</v>
      </c>
      <c r="G7" s="6" t="s">
        <v>55</v>
      </c>
      <c r="H7" s="6" t="s">
        <v>55</v>
      </c>
      <c r="I7" s="6" t="s">
        <v>55</v>
      </c>
      <c r="J7" s="6" t="s">
        <v>55</v>
      </c>
      <c r="K7" s="6" t="s">
        <v>55</v>
      </c>
      <c r="L7" s="5" t="s">
        <v>57</v>
      </c>
      <c r="M7" s="7" t="s">
        <v>56</v>
      </c>
      <c r="N7" s="6" t="s">
        <v>55</v>
      </c>
      <c r="O7" s="6" t="s">
        <v>55</v>
      </c>
      <c r="P7" s="6" t="s">
        <v>55</v>
      </c>
      <c r="Q7" s="6" t="s">
        <v>55</v>
      </c>
      <c r="R7" s="6" t="s">
        <v>55</v>
      </c>
      <c r="S7" s="5" t="s">
        <v>57</v>
      </c>
      <c r="T7" s="6" t="s">
        <v>55</v>
      </c>
      <c r="U7" s="6" t="s">
        <v>55</v>
      </c>
      <c r="V7" s="7" t="s">
        <v>56</v>
      </c>
      <c r="W7" s="6" t="s">
        <v>55</v>
      </c>
      <c r="X7" s="6" t="s">
        <v>55</v>
      </c>
      <c r="Y7" s="6" t="s">
        <v>55</v>
      </c>
      <c r="Z7" s="5" t="s">
        <v>57</v>
      </c>
      <c r="AA7" s="6" t="s">
        <v>55</v>
      </c>
      <c r="AB7" s="6" t="s">
        <v>55</v>
      </c>
      <c r="AC7" s="6" t="s">
        <v>55</v>
      </c>
      <c r="AD7" s="6" t="s">
        <v>55</v>
      </c>
      <c r="AE7" s="6" t="s">
        <v>55</v>
      </c>
      <c r="AF7" s="6" t="s">
        <v>55</v>
      </c>
      <c r="AG7" s="5" t="s">
        <v>57</v>
      </c>
      <c r="AH7" s="5">
        <f t="shared" ref="AH7:AH20" si="0">COUNTIF(D7:AG7,"P")</f>
        <v>23</v>
      </c>
      <c r="AI7" s="5">
        <f t="shared" ref="AI7:AI20" si="1">COUNTIF(D7:AG7,"A")</f>
        <v>2</v>
      </c>
      <c r="AJ7" s="4">
        <f t="shared" ref="AJ7:AJ20" si="2">PRODUCT(AH7,C7)</f>
        <v>69000</v>
      </c>
      <c r="AK7" s="5">
        <v>25</v>
      </c>
      <c r="AL7" s="5">
        <f t="shared" ref="AL7:AL20" si="3">AH7/AK7 * 100</f>
        <v>92</v>
      </c>
      <c r="AM7" s="4">
        <f t="shared" ref="AM7:AM20" si="4">PRODUCT(AK7,C7)</f>
        <v>75000</v>
      </c>
      <c r="AN7" s="5">
        <f t="shared" ref="AN7:AN20" si="5">IF(AL7&gt;=90,10,IF(AL7&gt;=85,8,IF(AL7&gt;=75,5,0)))</f>
        <v>10</v>
      </c>
      <c r="AO7" s="4">
        <f t="shared" ref="AO7:AO20" si="6" xml:space="preserve"> AM7 * (AN7 / 100)</f>
        <v>7500</v>
      </c>
      <c r="AP7" s="4">
        <f t="shared" ref="AP7:AP20" si="7">SUM(AJ7+AO7)</f>
        <v>76500</v>
      </c>
      <c r="AQ7" s="5" t="str">
        <f t="shared" ref="AQ7:AQ20" si="8">IF(AL7=100,"Excellent",IF(AL7&gt;=90,"Good",IF(AL7&gt;=80,"Average","Poor")))</f>
        <v>Good</v>
      </c>
    </row>
    <row r="8" spans="1:43" x14ac:dyDescent="0.35">
      <c r="A8" t="s">
        <v>3</v>
      </c>
      <c r="B8" t="s">
        <v>19</v>
      </c>
      <c r="C8" s="10">
        <v>2200</v>
      </c>
      <c r="D8" s="6" t="s">
        <v>55</v>
      </c>
      <c r="E8" s="5" t="s">
        <v>57</v>
      </c>
      <c r="F8" s="6" t="s">
        <v>55</v>
      </c>
      <c r="G8" s="6" t="s">
        <v>55</v>
      </c>
      <c r="H8" s="6" t="s">
        <v>55</v>
      </c>
      <c r="I8" s="6" t="s">
        <v>55</v>
      </c>
      <c r="J8" s="6" t="s">
        <v>55</v>
      </c>
      <c r="K8" s="6" t="s">
        <v>55</v>
      </c>
      <c r="L8" s="5" t="s">
        <v>57</v>
      </c>
      <c r="M8" s="7" t="s">
        <v>56</v>
      </c>
      <c r="N8" s="7" t="s">
        <v>56</v>
      </c>
      <c r="O8" s="6" t="s">
        <v>55</v>
      </c>
      <c r="P8" s="6" t="s">
        <v>55</v>
      </c>
      <c r="Q8" s="6" t="s">
        <v>55</v>
      </c>
      <c r="R8" s="6" t="s">
        <v>55</v>
      </c>
      <c r="S8" s="5" t="s">
        <v>57</v>
      </c>
      <c r="T8" s="6" t="s">
        <v>55</v>
      </c>
      <c r="U8" s="6" t="s">
        <v>55</v>
      </c>
      <c r="V8" s="6" t="s">
        <v>55</v>
      </c>
      <c r="W8" s="6" t="s">
        <v>55</v>
      </c>
      <c r="X8" s="6" t="s">
        <v>55</v>
      </c>
      <c r="Y8" s="6" t="s">
        <v>55</v>
      </c>
      <c r="Z8" s="5" t="s">
        <v>57</v>
      </c>
      <c r="AA8" s="6" t="s">
        <v>55</v>
      </c>
      <c r="AB8" s="6" t="s">
        <v>55</v>
      </c>
      <c r="AC8" s="6" t="s">
        <v>55</v>
      </c>
      <c r="AD8" s="6" t="s">
        <v>55</v>
      </c>
      <c r="AE8" s="7" t="s">
        <v>56</v>
      </c>
      <c r="AF8" s="6" t="s">
        <v>55</v>
      </c>
      <c r="AG8" s="5" t="s">
        <v>57</v>
      </c>
      <c r="AH8" s="5">
        <f t="shared" si="0"/>
        <v>22</v>
      </c>
      <c r="AI8" s="5">
        <f t="shared" si="1"/>
        <v>3</v>
      </c>
      <c r="AJ8" s="4">
        <f t="shared" si="2"/>
        <v>48400</v>
      </c>
      <c r="AK8" s="5">
        <v>25</v>
      </c>
      <c r="AL8" s="5">
        <f t="shared" si="3"/>
        <v>88</v>
      </c>
      <c r="AM8" s="4">
        <f t="shared" si="4"/>
        <v>55000</v>
      </c>
      <c r="AN8" s="5">
        <f t="shared" si="5"/>
        <v>8</v>
      </c>
      <c r="AO8" s="4">
        <f t="shared" si="6"/>
        <v>4400</v>
      </c>
      <c r="AP8" s="4">
        <f t="shared" si="7"/>
        <v>52800</v>
      </c>
      <c r="AQ8" s="5" t="str">
        <f t="shared" si="8"/>
        <v>Average</v>
      </c>
    </row>
    <row r="9" spans="1:43" x14ac:dyDescent="0.35">
      <c r="A9" t="s">
        <v>4</v>
      </c>
      <c r="B9" t="s">
        <v>20</v>
      </c>
      <c r="C9" s="10">
        <v>2300</v>
      </c>
      <c r="D9" s="6" t="s">
        <v>55</v>
      </c>
      <c r="E9" s="5" t="s">
        <v>57</v>
      </c>
      <c r="F9" s="6" t="s">
        <v>55</v>
      </c>
      <c r="G9" s="6" t="s">
        <v>55</v>
      </c>
      <c r="H9" s="6" t="s">
        <v>55</v>
      </c>
      <c r="I9" s="6" t="s">
        <v>55</v>
      </c>
      <c r="J9" s="6" t="s">
        <v>55</v>
      </c>
      <c r="K9" s="6" t="s">
        <v>55</v>
      </c>
      <c r="L9" s="5" t="s">
        <v>57</v>
      </c>
      <c r="M9" s="6" t="s">
        <v>55</v>
      </c>
      <c r="N9" s="6" t="s">
        <v>55</v>
      </c>
      <c r="O9" s="6" t="s">
        <v>55</v>
      </c>
      <c r="P9" s="7" t="s">
        <v>56</v>
      </c>
      <c r="Q9" s="7" t="s">
        <v>56</v>
      </c>
      <c r="R9" s="6" t="s">
        <v>55</v>
      </c>
      <c r="S9" s="5" t="s">
        <v>57</v>
      </c>
      <c r="T9" s="6" t="s">
        <v>55</v>
      </c>
      <c r="U9" s="6" t="s">
        <v>55</v>
      </c>
      <c r="V9" s="6" t="s">
        <v>55</v>
      </c>
      <c r="W9" s="6" t="s">
        <v>55</v>
      </c>
      <c r="X9" s="6" t="s">
        <v>55</v>
      </c>
      <c r="Y9" s="6" t="s">
        <v>55</v>
      </c>
      <c r="Z9" s="5" t="s">
        <v>57</v>
      </c>
      <c r="AA9" s="6" t="s">
        <v>55</v>
      </c>
      <c r="AB9" s="6" t="s">
        <v>55</v>
      </c>
      <c r="AC9" s="6" t="s">
        <v>55</v>
      </c>
      <c r="AD9" s="6" t="s">
        <v>55</v>
      </c>
      <c r="AE9" s="6" t="s">
        <v>55</v>
      </c>
      <c r="AF9" s="7" t="s">
        <v>56</v>
      </c>
      <c r="AG9" s="5" t="s">
        <v>57</v>
      </c>
      <c r="AH9" s="5">
        <f t="shared" si="0"/>
        <v>22</v>
      </c>
      <c r="AI9" s="5">
        <f t="shared" si="1"/>
        <v>3</v>
      </c>
      <c r="AJ9" s="4">
        <f t="shared" si="2"/>
        <v>50600</v>
      </c>
      <c r="AK9" s="5">
        <v>25</v>
      </c>
      <c r="AL9" s="5">
        <f t="shared" si="3"/>
        <v>88</v>
      </c>
      <c r="AM9" s="4">
        <f t="shared" si="4"/>
        <v>57500</v>
      </c>
      <c r="AN9" s="5">
        <f t="shared" si="5"/>
        <v>8</v>
      </c>
      <c r="AO9" s="4">
        <f t="shared" si="6"/>
        <v>4600</v>
      </c>
      <c r="AP9" s="4">
        <f t="shared" si="7"/>
        <v>55200</v>
      </c>
      <c r="AQ9" s="5" t="str">
        <f t="shared" si="8"/>
        <v>Average</v>
      </c>
    </row>
    <row r="10" spans="1:43" x14ac:dyDescent="0.35">
      <c r="A10" t="s">
        <v>5</v>
      </c>
      <c r="B10" t="s">
        <v>18</v>
      </c>
      <c r="C10" s="10">
        <v>3000</v>
      </c>
      <c r="D10" s="7" t="s">
        <v>56</v>
      </c>
      <c r="E10" s="5" t="s">
        <v>57</v>
      </c>
      <c r="F10" s="7" t="s">
        <v>56</v>
      </c>
      <c r="G10" s="6" t="s">
        <v>55</v>
      </c>
      <c r="H10" s="6" t="s">
        <v>55</v>
      </c>
      <c r="I10" s="6" t="s">
        <v>55</v>
      </c>
      <c r="J10" s="6" t="s">
        <v>55</v>
      </c>
      <c r="K10" s="6" t="s">
        <v>55</v>
      </c>
      <c r="L10" s="5" t="s">
        <v>57</v>
      </c>
      <c r="M10" s="6" t="s">
        <v>55</v>
      </c>
      <c r="N10" s="6" t="s">
        <v>55</v>
      </c>
      <c r="O10" s="6" t="s">
        <v>55</v>
      </c>
      <c r="P10" s="6" t="s">
        <v>55</v>
      </c>
      <c r="Q10" s="7" t="s">
        <v>56</v>
      </c>
      <c r="R10" s="7" t="s">
        <v>56</v>
      </c>
      <c r="S10" s="5" t="s">
        <v>57</v>
      </c>
      <c r="T10" s="6" t="s">
        <v>55</v>
      </c>
      <c r="U10" s="6" t="s">
        <v>55</v>
      </c>
      <c r="V10" s="6" t="s">
        <v>55</v>
      </c>
      <c r="W10" s="6" t="s">
        <v>55</v>
      </c>
      <c r="X10" s="6" t="s">
        <v>55</v>
      </c>
      <c r="Y10" s="6" t="s">
        <v>55</v>
      </c>
      <c r="Z10" s="5" t="s">
        <v>57</v>
      </c>
      <c r="AA10" s="6" t="s">
        <v>55</v>
      </c>
      <c r="AB10" s="6" t="s">
        <v>55</v>
      </c>
      <c r="AC10" s="6" t="s">
        <v>55</v>
      </c>
      <c r="AD10" s="6" t="s">
        <v>55</v>
      </c>
      <c r="AE10" s="6" t="s">
        <v>55</v>
      </c>
      <c r="AF10" s="6" t="s">
        <v>55</v>
      </c>
      <c r="AG10" s="5" t="s">
        <v>57</v>
      </c>
      <c r="AH10" s="5">
        <f t="shared" si="0"/>
        <v>21</v>
      </c>
      <c r="AI10" s="5">
        <f t="shared" si="1"/>
        <v>4</v>
      </c>
      <c r="AJ10" s="4">
        <f t="shared" si="2"/>
        <v>63000</v>
      </c>
      <c r="AK10" s="5">
        <v>25</v>
      </c>
      <c r="AL10" s="5">
        <f t="shared" si="3"/>
        <v>84</v>
      </c>
      <c r="AM10" s="4">
        <f t="shared" si="4"/>
        <v>75000</v>
      </c>
      <c r="AN10" s="5">
        <f t="shared" si="5"/>
        <v>5</v>
      </c>
      <c r="AO10" s="4">
        <f t="shared" si="6"/>
        <v>3750</v>
      </c>
      <c r="AP10" s="4">
        <f t="shared" si="7"/>
        <v>66750</v>
      </c>
      <c r="AQ10" s="5" t="str">
        <f t="shared" si="8"/>
        <v>Average</v>
      </c>
    </row>
    <row r="11" spans="1:43" x14ac:dyDescent="0.35">
      <c r="A11" t="s">
        <v>6</v>
      </c>
      <c r="B11" t="s">
        <v>21</v>
      </c>
      <c r="C11" s="10">
        <v>2700</v>
      </c>
      <c r="D11" s="7" t="s">
        <v>56</v>
      </c>
      <c r="E11" s="5" t="s">
        <v>57</v>
      </c>
      <c r="F11" s="6" t="s">
        <v>55</v>
      </c>
      <c r="G11" s="6" t="s">
        <v>55</v>
      </c>
      <c r="H11" s="6" t="s">
        <v>55</v>
      </c>
      <c r="I11" s="6" t="s">
        <v>55</v>
      </c>
      <c r="J11" s="6" t="s">
        <v>55</v>
      </c>
      <c r="K11" s="6" t="s">
        <v>55</v>
      </c>
      <c r="L11" s="5" t="s">
        <v>57</v>
      </c>
      <c r="M11" s="6" t="s">
        <v>55</v>
      </c>
      <c r="N11" s="6" t="s">
        <v>55</v>
      </c>
      <c r="O11" s="6" t="s">
        <v>55</v>
      </c>
      <c r="P11" s="6" t="s">
        <v>55</v>
      </c>
      <c r="Q11" s="6" t="s">
        <v>55</v>
      </c>
      <c r="R11" s="6" t="s">
        <v>55</v>
      </c>
      <c r="S11" s="5" t="s">
        <v>57</v>
      </c>
      <c r="T11" s="6" t="s">
        <v>55</v>
      </c>
      <c r="U11" s="6" t="s">
        <v>55</v>
      </c>
      <c r="V11" s="6" t="s">
        <v>55</v>
      </c>
      <c r="W11" s="6" t="s">
        <v>55</v>
      </c>
      <c r="X11" s="6" t="s">
        <v>55</v>
      </c>
      <c r="Y11" s="6" t="s">
        <v>55</v>
      </c>
      <c r="Z11" s="5" t="s">
        <v>57</v>
      </c>
      <c r="AA11" s="6" t="s">
        <v>55</v>
      </c>
      <c r="AB11" s="6" t="s">
        <v>55</v>
      </c>
      <c r="AC11" s="6" t="s">
        <v>55</v>
      </c>
      <c r="AD11" s="6" t="s">
        <v>55</v>
      </c>
      <c r="AE11" s="7" t="s">
        <v>56</v>
      </c>
      <c r="AF11" s="6" t="s">
        <v>55</v>
      </c>
      <c r="AG11" s="5" t="s">
        <v>57</v>
      </c>
      <c r="AH11" s="5">
        <f t="shared" si="0"/>
        <v>23</v>
      </c>
      <c r="AI11" s="5">
        <f t="shared" si="1"/>
        <v>2</v>
      </c>
      <c r="AJ11" s="4">
        <f t="shared" si="2"/>
        <v>62100</v>
      </c>
      <c r="AK11" s="5">
        <v>25</v>
      </c>
      <c r="AL11" s="5">
        <f t="shared" si="3"/>
        <v>92</v>
      </c>
      <c r="AM11" s="4">
        <f t="shared" si="4"/>
        <v>67500</v>
      </c>
      <c r="AN11" s="5">
        <f t="shared" si="5"/>
        <v>10</v>
      </c>
      <c r="AO11" s="4">
        <f t="shared" si="6"/>
        <v>6750</v>
      </c>
      <c r="AP11" s="4">
        <f t="shared" si="7"/>
        <v>68850</v>
      </c>
      <c r="AQ11" s="5" t="str">
        <f t="shared" si="8"/>
        <v>Good</v>
      </c>
    </row>
    <row r="12" spans="1:43" x14ac:dyDescent="0.35">
      <c r="A12" t="s">
        <v>10</v>
      </c>
      <c r="B12" t="s">
        <v>22</v>
      </c>
      <c r="C12" s="10">
        <v>2300</v>
      </c>
      <c r="D12" s="6" t="s">
        <v>55</v>
      </c>
      <c r="E12" s="5" t="s">
        <v>57</v>
      </c>
      <c r="F12" s="6" t="s">
        <v>55</v>
      </c>
      <c r="G12" s="6" t="s">
        <v>55</v>
      </c>
      <c r="H12" s="6" t="s">
        <v>55</v>
      </c>
      <c r="I12" s="6" t="s">
        <v>55</v>
      </c>
      <c r="J12" s="6" t="s">
        <v>55</v>
      </c>
      <c r="K12" s="6" t="s">
        <v>55</v>
      </c>
      <c r="L12" s="5" t="s">
        <v>57</v>
      </c>
      <c r="M12" s="6" t="s">
        <v>55</v>
      </c>
      <c r="N12" s="6" t="s">
        <v>55</v>
      </c>
      <c r="O12" s="6" t="s">
        <v>55</v>
      </c>
      <c r="P12" s="6" t="s">
        <v>55</v>
      </c>
      <c r="Q12" s="6" t="s">
        <v>55</v>
      </c>
      <c r="R12" s="6" t="s">
        <v>55</v>
      </c>
      <c r="S12" s="5" t="s">
        <v>57</v>
      </c>
      <c r="T12" s="6" t="s">
        <v>55</v>
      </c>
      <c r="U12" s="6" t="s">
        <v>55</v>
      </c>
      <c r="V12" s="6" t="s">
        <v>55</v>
      </c>
      <c r="W12" s="6" t="s">
        <v>55</v>
      </c>
      <c r="X12" s="6" t="s">
        <v>55</v>
      </c>
      <c r="Y12" s="7" t="s">
        <v>56</v>
      </c>
      <c r="Z12" s="5" t="s">
        <v>57</v>
      </c>
      <c r="AA12" s="6" t="s">
        <v>55</v>
      </c>
      <c r="AB12" s="6" t="s">
        <v>55</v>
      </c>
      <c r="AC12" s="6" t="s">
        <v>55</v>
      </c>
      <c r="AD12" s="7" t="s">
        <v>56</v>
      </c>
      <c r="AE12" s="6" t="s">
        <v>55</v>
      </c>
      <c r="AF12" s="6" t="s">
        <v>55</v>
      </c>
      <c r="AG12" s="5" t="s">
        <v>57</v>
      </c>
      <c r="AH12" s="5">
        <f t="shared" si="0"/>
        <v>23</v>
      </c>
      <c r="AI12" s="5">
        <f t="shared" si="1"/>
        <v>2</v>
      </c>
      <c r="AJ12" s="4">
        <f t="shared" si="2"/>
        <v>52900</v>
      </c>
      <c r="AK12" s="5">
        <v>25</v>
      </c>
      <c r="AL12" s="5">
        <f t="shared" si="3"/>
        <v>92</v>
      </c>
      <c r="AM12" s="4">
        <f t="shared" si="4"/>
        <v>57500</v>
      </c>
      <c r="AN12" s="5">
        <f t="shared" si="5"/>
        <v>10</v>
      </c>
      <c r="AO12" s="4">
        <f t="shared" si="6"/>
        <v>5750</v>
      </c>
      <c r="AP12" s="4">
        <f t="shared" si="7"/>
        <v>58650</v>
      </c>
      <c r="AQ12" s="5" t="str">
        <f t="shared" si="8"/>
        <v>Good</v>
      </c>
    </row>
    <row r="13" spans="1:43" x14ac:dyDescent="0.35">
      <c r="A13" t="s">
        <v>7</v>
      </c>
      <c r="B13" t="s">
        <v>17</v>
      </c>
      <c r="C13" s="10">
        <v>1500</v>
      </c>
      <c r="D13" s="6" t="s">
        <v>55</v>
      </c>
      <c r="E13" s="5" t="s">
        <v>57</v>
      </c>
      <c r="F13" s="6" t="s">
        <v>55</v>
      </c>
      <c r="G13" s="6" t="s">
        <v>55</v>
      </c>
      <c r="H13" s="6" t="s">
        <v>55</v>
      </c>
      <c r="I13" s="6" t="s">
        <v>55</v>
      </c>
      <c r="J13" s="6" t="s">
        <v>55</v>
      </c>
      <c r="K13" s="6" t="s">
        <v>55</v>
      </c>
      <c r="L13" s="5" t="s">
        <v>57</v>
      </c>
      <c r="M13" s="6" t="s">
        <v>55</v>
      </c>
      <c r="N13" s="6" t="s">
        <v>55</v>
      </c>
      <c r="O13" s="6" t="s">
        <v>55</v>
      </c>
      <c r="P13" s="6" t="s">
        <v>55</v>
      </c>
      <c r="Q13" s="6" t="s">
        <v>55</v>
      </c>
      <c r="R13" s="6" t="s">
        <v>55</v>
      </c>
      <c r="S13" s="5" t="s">
        <v>57</v>
      </c>
      <c r="T13" s="6" t="s">
        <v>55</v>
      </c>
      <c r="U13" s="6" t="s">
        <v>55</v>
      </c>
      <c r="V13" s="6" t="s">
        <v>55</v>
      </c>
      <c r="W13" s="6" t="s">
        <v>55</v>
      </c>
      <c r="X13" s="6" t="s">
        <v>55</v>
      </c>
      <c r="Y13" s="6" t="s">
        <v>55</v>
      </c>
      <c r="Z13" s="5" t="s">
        <v>57</v>
      </c>
      <c r="AA13" s="6" t="s">
        <v>55</v>
      </c>
      <c r="AB13" s="6" t="s">
        <v>55</v>
      </c>
      <c r="AC13" s="6" t="s">
        <v>55</v>
      </c>
      <c r="AD13" s="6" t="s">
        <v>55</v>
      </c>
      <c r="AE13" s="6" t="s">
        <v>55</v>
      </c>
      <c r="AF13" s="6" t="s">
        <v>55</v>
      </c>
      <c r="AG13" s="5" t="s">
        <v>57</v>
      </c>
      <c r="AH13" s="5">
        <f t="shared" si="0"/>
        <v>25</v>
      </c>
      <c r="AI13" s="5">
        <f t="shared" si="1"/>
        <v>0</v>
      </c>
      <c r="AJ13" s="4">
        <f t="shared" si="2"/>
        <v>37500</v>
      </c>
      <c r="AK13" s="5">
        <v>25</v>
      </c>
      <c r="AL13" s="5">
        <f t="shared" si="3"/>
        <v>100</v>
      </c>
      <c r="AM13" s="4">
        <f t="shared" si="4"/>
        <v>37500</v>
      </c>
      <c r="AN13" s="5">
        <f t="shared" si="5"/>
        <v>10</v>
      </c>
      <c r="AO13" s="4">
        <f t="shared" si="6"/>
        <v>3750</v>
      </c>
      <c r="AP13" s="4">
        <f t="shared" si="7"/>
        <v>41250</v>
      </c>
      <c r="AQ13" s="5" t="str">
        <f>IF(AL13=100,"Excellent",IF(AL13&gt;=90,"Good",IF(AL13&gt;=80,"Average","Poor")))</f>
        <v>Excellent</v>
      </c>
    </row>
    <row r="14" spans="1:43" x14ac:dyDescent="0.35">
      <c r="A14" t="s">
        <v>8</v>
      </c>
      <c r="B14" t="s">
        <v>21</v>
      </c>
      <c r="C14" s="10">
        <v>2700</v>
      </c>
      <c r="D14" s="6" t="s">
        <v>55</v>
      </c>
      <c r="E14" s="5" t="s">
        <v>57</v>
      </c>
      <c r="F14" s="6" t="s">
        <v>55</v>
      </c>
      <c r="G14" s="6" t="s">
        <v>55</v>
      </c>
      <c r="H14" s="6" t="s">
        <v>55</v>
      </c>
      <c r="I14" s="6" t="s">
        <v>55</v>
      </c>
      <c r="J14" s="6" t="s">
        <v>55</v>
      </c>
      <c r="K14" s="6" t="s">
        <v>55</v>
      </c>
      <c r="L14" s="5" t="s">
        <v>57</v>
      </c>
      <c r="M14" s="6" t="s">
        <v>55</v>
      </c>
      <c r="N14" s="6" t="s">
        <v>55</v>
      </c>
      <c r="O14" s="6" t="s">
        <v>55</v>
      </c>
      <c r="P14" s="6" t="s">
        <v>55</v>
      </c>
      <c r="Q14" s="6" t="s">
        <v>55</v>
      </c>
      <c r="R14" s="6" t="s">
        <v>55</v>
      </c>
      <c r="S14" s="5" t="s">
        <v>57</v>
      </c>
      <c r="T14" s="6" t="s">
        <v>55</v>
      </c>
      <c r="U14" s="6" t="s">
        <v>55</v>
      </c>
      <c r="V14" s="6" t="s">
        <v>55</v>
      </c>
      <c r="W14" s="6" t="s">
        <v>55</v>
      </c>
      <c r="X14" s="6" t="s">
        <v>55</v>
      </c>
      <c r="Y14" s="6" t="s">
        <v>55</v>
      </c>
      <c r="Z14" s="5" t="s">
        <v>57</v>
      </c>
      <c r="AA14" s="6" t="s">
        <v>55</v>
      </c>
      <c r="AB14" s="7" t="s">
        <v>56</v>
      </c>
      <c r="AC14" s="6" t="s">
        <v>55</v>
      </c>
      <c r="AD14" s="6" t="s">
        <v>55</v>
      </c>
      <c r="AE14" s="6" t="s">
        <v>55</v>
      </c>
      <c r="AF14" s="6" t="s">
        <v>55</v>
      </c>
      <c r="AG14" s="5" t="s">
        <v>57</v>
      </c>
      <c r="AH14" s="5">
        <f t="shared" si="0"/>
        <v>24</v>
      </c>
      <c r="AI14" s="5">
        <f t="shared" si="1"/>
        <v>1</v>
      </c>
      <c r="AJ14" s="4">
        <f t="shared" si="2"/>
        <v>64800</v>
      </c>
      <c r="AK14" s="5">
        <v>25</v>
      </c>
      <c r="AL14" s="5">
        <f t="shared" si="3"/>
        <v>96</v>
      </c>
      <c r="AM14" s="4">
        <f t="shared" si="4"/>
        <v>67500</v>
      </c>
      <c r="AN14" s="5">
        <f t="shared" si="5"/>
        <v>10</v>
      </c>
      <c r="AO14" s="4">
        <f t="shared" si="6"/>
        <v>6750</v>
      </c>
      <c r="AP14" s="4">
        <f t="shared" si="7"/>
        <v>71550</v>
      </c>
      <c r="AQ14" s="5" t="str">
        <f t="shared" si="8"/>
        <v>Good</v>
      </c>
    </row>
    <row r="15" spans="1:43" x14ac:dyDescent="0.35">
      <c r="A15" t="s">
        <v>9</v>
      </c>
      <c r="B15" t="s">
        <v>18</v>
      </c>
      <c r="C15" s="10">
        <v>3000</v>
      </c>
      <c r="D15" s="6" t="s">
        <v>55</v>
      </c>
      <c r="E15" s="5" t="s">
        <v>57</v>
      </c>
      <c r="F15" s="6" t="s">
        <v>55</v>
      </c>
      <c r="G15" s="6" t="s">
        <v>55</v>
      </c>
      <c r="H15" s="6" t="s">
        <v>55</v>
      </c>
      <c r="I15" s="6" t="s">
        <v>55</v>
      </c>
      <c r="J15" s="6" t="s">
        <v>55</v>
      </c>
      <c r="K15" s="6" t="s">
        <v>55</v>
      </c>
      <c r="L15" s="5" t="s">
        <v>57</v>
      </c>
      <c r="M15" s="7" t="s">
        <v>56</v>
      </c>
      <c r="N15" s="6" t="s">
        <v>55</v>
      </c>
      <c r="O15" s="6" t="s">
        <v>55</v>
      </c>
      <c r="P15" s="6" t="s">
        <v>55</v>
      </c>
      <c r="Q15" s="6" t="s">
        <v>55</v>
      </c>
      <c r="R15" s="6" t="s">
        <v>55</v>
      </c>
      <c r="S15" s="5" t="s">
        <v>57</v>
      </c>
      <c r="T15" s="6" t="s">
        <v>55</v>
      </c>
      <c r="U15" s="6" t="s">
        <v>55</v>
      </c>
      <c r="V15" s="7" t="s">
        <v>56</v>
      </c>
      <c r="W15" s="7" t="s">
        <v>56</v>
      </c>
      <c r="X15" s="6" t="s">
        <v>55</v>
      </c>
      <c r="Y15" s="6" t="s">
        <v>55</v>
      </c>
      <c r="Z15" s="5" t="s">
        <v>57</v>
      </c>
      <c r="AA15" s="6" t="s">
        <v>55</v>
      </c>
      <c r="AB15" s="6" t="s">
        <v>55</v>
      </c>
      <c r="AC15" s="6" t="s">
        <v>55</v>
      </c>
      <c r="AD15" s="7" t="s">
        <v>56</v>
      </c>
      <c r="AE15" s="6" t="s">
        <v>55</v>
      </c>
      <c r="AF15" s="7" t="s">
        <v>56</v>
      </c>
      <c r="AG15" s="5" t="s">
        <v>57</v>
      </c>
      <c r="AH15" s="5">
        <f t="shared" si="0"/>
        <v>20</v>
      </c>
      <c r="AI15" s="5">
        <f t="shared" si="1"/>
        <v>5</v>
      </c>
      <c r="AJ15" s="4">
        <f t="shared" si="2"/>
        <v>60000</v>
      </c>
      <c r="AK15" s="5">
        <v>25</v>
      </c>
      <c r="AL15" s="5">
        <f t="shared" si="3"/>
        <v>80</v>
      </c>
      <c r="AM15" s="4">
        <f t="shared" si="4"/>
        <v>75000</v>
      </c>
      <c r="AN15" s="5">
        <f t="shared" si="5"/>
        <v>5</v>
      </c>
      <c r="AO15" s="4">
        <f t="shared" si="6"/>
        <v>3750</v>
      </c>
      <c r="AP15" s="4">
        <f t="shared" si="7"/>
        <v>63750</v>
      </c>
      <c r="AQ15" s="5" t="str">
        <f t="shared" si="8"/>
        <v>Average</v>
      </c>
    </row>
    <row r="16" spans="1:43" x14ac:dyDescent="0.35">
      <c r="A16" t="s">
        <v>11</v>
      </c>
      <c r="B16" t="s">
        <v>20</v>
      </c>
      <c r="C16" s="10">
        <v>2300</v>
      </c>
      <c r="D16" s="7" t="s">
        <v>56</v>
      </c>
      <c r="E16" s="5" t="s">
        <v>57</v>
      </c>
      <c r="F16" s="7" t="s">
        <v>56</v>
      </c>
      <c r="G16" s="6" t="s">
        <v>55</v>
      </c>
      <c r="H16" s="6" t="s">
        <v>55</v>
      </c>
      <c r="I16" s="6" t="s">
        <v>55</v>
      </c>
      <c r="J16" s="6" t="s">
        <v>55</v>
      </c>
      <c r="K16" s="6" t="s">
        <v>55</v>
      </c>
      <c r="L16" s="5" t="s">
        <v>57</v>
      </c>
      <c r="M16" s="6" t="s">
        <v>55</v>
      </c>
      <c r="N16" s="7" t="s">
        <v>56</v>
      </c>
      <c r="O16" s="7" t="s">
        <v>56</v>
      </c>
      <c r="P16" s="6" t="s">
        <v>55</v>
      </c>
      <c r="Q16" s="6" t="s">
        <v>55</v>
      </c>
      <c r="R16" s="6" t="s">
        <v>55</v>
      </c>
      <c r="S16" s="5" t="s">
        <v>57</v>
      </c>
      <c r="T16" s="6" t="s">
        <v>55</v>
      </c>
      <c r="U16" s="6" t="s">
        <v>55</v>
      </c>
      <c r="V16" s="6" t="s">
        <v>55</v>
      </c>
      <c r="W16" s="7" t="s">
        <v>56</v>
      </c>
      <c r="X16" s="6" t="s">
        <v>55</v>
      </c>
      <c r="Y16" s="6" t="s">
        <v>55</v>
      </c>
      <c r="Z16" s="5" t="s">
        <v>57</v>
      </c>
      <c r="AA16" s="6" t="s">
        <v>55</v>
      </c>
      <c r="AB16" s="6" t="s">
        <v>55</v>
      </c>
      <c r="AC16" s="6" t="s">
        <v>55</v>
      </c>
      <c r="AD16" s="6" t="s">
        <v>55</v>
      </c>
      <c r="AE16" s="6" t="s">
        <v>55</v>
      </c>
      <c r="AF16" s="7" t="s">
        <v>56</v>
      </c>
      <c r="AG16" s="5" t="s">
        <v>57</v>
      </c>
      <c r="AH16" s="5">
        <f t="shared" si="0"/>
        <v>19</v>
      </c>
      <c r="AI16" s="5">
        <f t="shared" si="1"/>
        <v>6</v>
      </c>
      <c r="AJ16" s="4">
        <f t="shared" si="2"/>
        <v>43700</v>
      </c>
      <c r="AK16" s="5">
        <v>25</v>
      </c>
      <c r="AL16" s="5">
        <f t="shared" si="3"/>
        <v>76</v>
      </c>
      <c r="AM16" s="4">
        <f t="shared" si="4"/>
        <v>57500</v>
      </c>
      <c r="AN16" s="5">
        <f t="shared" si="5"/>
        <v>5</v>
      </c>
      <c r="AO16" s="4">
        <f t="shared" si="6"/>
        <v>2875</v>
      </c>
      <c r="AP16" s="4">
        <f t="shared" si="7"/>
        <v>46575</v>
      </c>
      <c r="AQ16" s="5" t="str">
        <f t="shared" si="8"/>
        <v>Poor</v>
      </c>
    </row>
    <row r="17" spans="1:43" x14ac:dyDescent="0.35">
      <c r="A17" t="s">
        <v>12</v>
      </c>
      <c r="B17" t="s">
        <v>19</v>
      </c>
      <c r="C17" s="10">
        <v>2200</v>
      </c>
      <c r="D17" s="7" t="s">
        <v>56</v>
      </c>
      <c r="E17" s="5" t="s">
        <v>57</v>
      </c>
      <c r="F17" s="6" t="s">
        <v>55</v>
      </c>
      <c r="G17" s="7" t="s">
        <v>56</v>
      </c>
      <c r="H17" s="6" t="s">
        <v>55</v>
      </c>
      <c r="I17" s="6" t="s">
        <v>55</v>
      </c>
      <c r="J17" s="6" t="s">
        <v>55</v>
      </c>
      <c r="K17" s="6" t="s">
        <v>55</v>
      </c>
      <c r="L17" s="5" t="s">
        <v>57</v>
      </c>
      <c r="M17" s="7" t="s">
        <v>56</v>
      </c>
      <c r="N17" s="7" t="s">
        <v>56</v>
      </c>
      <c r="O17" s="7" t="s">
        <v>56</v>
      </c>
      <c r="P17" s="6" t="s">
        <v>55</v>
      </c>
      <c r="Q17" s="6" t="s">
        <v>55</v>
      </c>
      <c r="R17" s="6" t="s">
        <v>55</v>
      </c>
      <c r="S17" s="5" t="s">
        <v>57</v>
      </c>
      <c r="T17" s="6" t="s">
        <v>55</v>
      </c>
      <c r="U17" s="6" t="s">
        <v>55</v>
      </c>
      <c r="V17" s="7" t="s">
        <v>56</v>
      </c>
      <c r="W17" s="7" t="s">
        <v>56</v>
      </c>
      <c r="X17" s="7" t="s">
        <v>56</v>
      </c>
      <c r="Y17" s="6" t="s">
        <v>55</v>
      </c>
      <c r="Z17" s="5" t="s">
        <v>57</v>
      </c>
      <c r="AA17" s="6" t="s">
        <v>55</v>
      </c>
      <c r="AB17" s="6" t="s">
        <v>55</v>
      </c>
      <c r="AC17" s="6" t="s">
        <v>55</v>
      </c>
      <c r="AD17" s="6" t="s">
        <v>55</v>
      </c>
      <c r="AE17" s="6" t="s">
        <v>55</v>
      </c>
      <c r="AF17" s="6" t="s">
        <v>55</v>
      </c>
      <c r="AG17" s="5" t="s">
        <v>57</v>
      </c>
      <c r="AH17" s="5">
        <f t="shared" si="0"/>
        <v>17</v>
      </c>
      <c r="AI17" s="5">
        <f t="shared" si="1"/>
        <v>8</v>
      </c>
      <c r="AJ17" s="4">
        <f t="shared" si="2"/>
        <v>37400</v>
      </c>
      <c r="AK17" s="5">
        <v>25</v>
      </c>
      <c r="AL17" s="5">
        <f t="shared" si="3"/>
        <v>68</v>
      </c>
      <c r="AM17" s="4">
        <f t="shared" si="4"/>
        <v>55000</v>
      </c>
      <c r="AN17" s="5">
        <f t="shared" si="5"/>
        <v>0</v>
      </c>
      <c r="AO17" s="4">
        <f t="shared" si="6"/>
        <v>0</v>
      </c>
      <c r="AP17" s="4">
        <f t="shared" si="7"/>
        <v>37400</v>
      </c>
      <c r="AQ17" s="5" t="str">
        <f t="shared" si="8"/>
        <v>Poor</v>
      </c>
    </row>
    <row r="18" spans="1:43" x14ac:dyDescent="0.35">
      <c r="A18" t="s">
        <v>13</v>
      </c>
      <c r="B18" t="s">
        <v>23</v>
      </c>
      <c r="C18" s="10">
        <v>2850</v>
      </c>
      <c r="D18" s="6" t="s">
        <v>55</v>
      </c>
      <c r="E18" s="5" t="s">
        <v>57</v>
      </c>
      <c r="F18" s="6" t="s">
        <v>55</v>
      </c>
      <c r="G18" s="7" t="s">
        <v>56</v>
      </c>
      <c r="H18" s="7" t="s">
        <v>56</v>
      </c>
      <c r="I18" s="7" t="s">
        <v>56</v>
      </c>
      <c r="J18" s="6" t="s">
        <v>55</v>
      </c>
      <c r="K18" s="6" t="s">
        <v>55</v>
      </c>
      <c r="L18" s="5" t="s">
        <v>57</v>
      </c>
      <c r="M18" s="6" t="s">
        <v>55</v>
      </c>
      <c r="N18" s="6" t="s">
        <v>55</v>
      </c>
      <c r="O18" s="6" t="s">
        <v>55</v>
      </c>
      <c r="P18" s="6" t="s">
        <v>55</v>
      </c>
      <c r="Q18" s="6" t="s">
        <v>55</v>
      </c>
      <c r="R18" s="6" t="s">
        <v>55</v>
      </c>
      <c r="S18" s="5" t="s">
        <v>57</v>
      </c>
      <c r="T18" s="6" t="s">
        <v>55</v>
      </c>
      <c r="U18" s="7" t="s">
        <v>56</v>
      </c>
      <c r="V18" s="6" t="s">
        <v>55</v>
      </c>
      <c r="W18" s="6" t="s">
        <v>55</v>
      </c>
      <c r="X18" s="6" t="s">
        <v>55</v>
      </c>
      <c r="Y18" s="7" t="s">
        <v>56</v>
      </c>
      <c r="Z18" s="5" t="s">
        <v>57</v>
      </c>
      <c r="AA18" s="6" t="s">
        <v>55</v>
      </c>
      <c r="AB18" s="6" t="s">
        <v>55</v>
      </c>
      <c r="AC18" s="7" t="s">
        <v>56</v>
      </c>
      <c r="AD18" s="7" t="s">
        <v>56</v>
      </c>
      <c r="AE18" s="6" t="s">
        <v>55</v>
      </c>
      <c r="AF18" s="6" t="s">
        <v>55</v>
      </c>
      <c r="AG18" s="5" t="s">
        <v>57</v>
      </c>
      <c r="AH18" s="5">
        <f t="shared" si="0"/>
        <v>18</v>
      </c>
      <c r="AI18" s="5">
        <f t="shared" si="1"/>
        <v>7</v>
      </c>
      <c r="AJ18" s="4">
        <f t="shared" si="2"/>
        <v>51300</v>
      </c>
      <c r="AK18" s="5">
        <v>25</v>
      </c>
      <c r="AL18" s="5">
        <f t="shared" si="3"/>
        <v>72</v>
      </c>
      <c r="AM18" s="4">
        <f t="shared" si="4"/>
        <v>71250</v>
      </c>
      <c r="AN18" s="5">
        <f t="shared" si="5"/>
        <v>0</v>
      </c>
      <c r="AO18" s="4">
        <f t="shared" si="6"/>
        <v>0</v>
      </c>
      <c r="AP18" s="4">
        <f t="shared" si="7"/>
        <v>51300</v>
      </c>
      <c r="AQ18" s="5" t="str">
        <f t="shared" si="8"/>
        <v>Poor</v>
      </c>
    </row>
    <row r="19" spans="1:43" x14ac:dyDescent="0.35">
      <c r="A19" t="s">
        <v>14</v>
      </c>
      <c r="B19" t="s">
        <v>18</v>
      </c>
      <c r="C19" s="10">
        <v>3000</v>
      </c>
      <c r="D19" s="6" t="s">
        <v>55</v>
      </c>
      <c r="E19" s="5" t="s">
        <v>57</v>
      </c>
      <c r="F19" s="6" t="s">
        <v>55</v>
      </c>
      <c r="G19" s="7" t="s">
        <v>56</v>
      </c>
      <c r="H19" s="6" t="s">
        <v>55</v>
      </c>
      <c r="I19" s="7" t="s">
        <v>56</v>
      </c>
      <c r="J19" s="6" t="s">
        <v>55</v>
      </c>
      <c r="K19" s="6" t="s">
        <v>55</v>
      </c>
      <c r="L19" s="5" t="s">
        <v>57</v>
      </c>
      <c r="M19" s="6" t="s">
        <v>55</v>
      </c>
      <c r="N19" s="6" t="s">
        <v>55</v>
      </c>
      <c r="O19" s="6" t="s">
        <v>55</v>
      </c>
      <c r="P19" s="6" t="s">
        <v>55</v>
      </c>
      <c r="Q19" s="6" t="s">
        <v>55</v>
      </c>
      <c r="R19" s="6" t="s">
        <v>55</v>
      </c>
      <c r="S19" s="5" t="s">
        <v>57</v>
      </c>
      <c r="T19" s="6" t="s">
        <v>55</v>
      </c>
      <c r="U19" s="6" t="s">
        <v>55</v>
      </c>
      <c r="V19" s="6" t="s">
        <v>55</v>
      </c>
      <c r="W19" s="6" t="s">
        <v>55</v>
      </c>
      <c r="X19" s="6" t="s">
        <v>55</v>
      </c>
      <c r="Y19" s="6" t="s">
        <v>55</v>
      </c>
      <c r="Z19" s="5" t="s">
        <v>57</v>
      </c>
      <c r="AA19" s="6" t="s">
        <v>55</v>
      </c>
      <c r="AB19" s="6" t="s">
        <v>55</v>
      </c>
      <c r="AC19" s="7" t="s">
        <v>56</v>
      </c>
      <c r="AD19" s="6" t="s">
        <v>55</v>
      </c>
      <c r="AE19" s="6" t="s">
        <v>55</v>
      </c>
      <c r="AF19" s="7" t="s">
        <v>56</v>
      </c>
      <c r="AG19" s="5" t="s">
        <v>57</v>
      </c>
      <c r="AH19" s="5">
        <f t="shared" si="0"/>
        <v>21</v>
      </c>
      <c r="AI19" s="5">
        <f t="shared" si="1"/>
        <v>4</v>
      </c>
      <c r="AJ19" s="4">
        <f t="shared" si="2"/>
        <v>63000</v>
      </c>
      <c r="AK19" s="5">
        <v>25</v>
      </c>
      <c r="AL19" s="5">
        <f t="shared" si="3"/>
        <v>84</v>
      </c>
      <c r="AM19" s="4">
        <f t="shared" si="4"/>
        <v>75000</v>
      </c>
      <c r="AN19" s="5">
        <f t="shared" si="5"/>
        <v>5</v>
      </c>
      <c r="AO19" s="4">
        <f t="shared" si="6"/>
        <v>3750</v>
      </c>
      <c r="AP19" s="4">
        <f t="shared" si="7"/>
        <v>66750</v>
      </c>
      <c r="AQ19" s="5" t="str">
        <f t="shared" si="8"/>
        <v>Average</v>
      </c>
    </row>
    <row r="20" spans="1:43" x14ac:dyDescent="0.35">
      <c r="A20" t="s">
        <v>15</v>
      </c>
      <c r="B20" t="s">
        <v>23</v>
      </c>
      <c r="C20" s="10">
        <v>2850</v>
      </c>
      <c r="D20" s="6" t="s">
        <v>55</v>
      </c>
      <c r="E20" s="5" t="s">
        <v>57</v>
      </c>
      <c r="F20" s="6" t="s">
        <v>55</v>
      </c>
      <c r="G20" s="7" t="s">
        <v>56</v>
      </c>
      <c r="H20" s="6" t="s">
        <v>55</v>
      </c>
      <c r="I20" s="6" t="s">
        <v>55</v>
      </c>
      <c r="J20" s="7" t="s">
        <v>56</v>
      </c>
      <c r="K20" s="6" t="s">
        <v>55</v>
      </c>
      <c r="L20" s="5" t="s">
        <v>57</v>
      </c>
      <c r="M20" s="6" t="s">
        <v>55</v>
      </c>
      <c r="N20" s="6" t="s">
        <v>55</v>
      </c>
      <c r="O20" s="6" t="s">
        <v>55</v>
      </c>
      <c r="P20" s="6" t="s">
        <v>55</v>
      </c>
      <c r="Q20" s="6" t="s">
        <v>55</v>
      </c>
      <c r="R20" s="6" t="s">
        <v>55</v>
      </c>
      <c r="S20" s="5" t="s">
        <v>57</v>
      </c>
      <c r="T20" s="6" t="s">
        <v>55</v>
      </c>
      <c r="U20" s="6" t="s">
        <v>55</v>
      </c>
      <c r="V20" s="6" t="s">
        <v>55</v>
      </c>
      <c r="W20" s="6" t="s">
        <v>55</v>
      </c>
      <c r="X20" s="6" t="s">
        <v>55</v>
      </c>
      <c r="Y20" s="6" t="s">
        <v>55</v>
      </c>
      <c r="Z20" s="5" t="s">
        <v>57</v>
      </c>
      <c r="AA20" s="7" t="s">
        <v>56</v>
      </c>
      <c r="AB20" s="7" t="s">
        <v>56</v>
      </c>
      <c r="AC20" s="7" t="s">
        <v>56</v>
      </c>
      <c r="AD20" s="6" t="s">
        <v>55</v>
      </c>
      <c r="AE20" s="6" t="s">
        <v>55</v>
      </c>
      <c r="AF20" s="6" t="s">
        <v>55</v>
      </c>
      <c r="AG20" s="5" t="s">
        <v>57</v>
      </c>
      <c r="AH20" s="5">
        <f t="shared" si="0"/>
        <v>20</v>
      </c>
      <c r="AI20" s="5">
        <f t="shared" si="1"/>
        <v>5</v>
      </c>
      <c r="AJ20" s="4">
        <f t="shared" si="2"/>
        <v>57000</v>
      </c>
      <c r="AK20" s="5">
        <v>25</v>
      </c>
      <c r="AL20" s="5">
        <f t="shared" si="3"/>
        <v>80</v>
      </c>
      <c r="AM20" s="4">
        <f t="shared" si="4"/>
        <v>71250</v>
      </c>
      <c r="AN20" s="5">
        <f t="shared" si="5"/>
        <v>5</v>
      </c>
      <c r="AO20" s="4">
        <f t="shared" si="6"/>
        <v>3562.5</v>
      </c>
      <c r="AP20" s="4">
        <f t="shared" si="7"/>
        <v>60562.5</v>
      </c>
      <c r="AQ20" s="5" t="str">
        <f t="shared" si="8"/>
        <v>Average</v>
      </c>
    </row>
    <row r="21" spans="1:43" x14ac:dyDescent="0.35">
      <c r="X21" s="5"/>
      <c r="AF21" s="8"/>
    </row>
    <row r="22" spans="1:43" x14ac:dyDescent="0.35">
      <c r="AJ22" s="12">
        <f>SUM(AJ6:AJ20)</f>
        <v>789200</v>
      </c>
      <c r="AM22" s="12">
        <f>SUM(AM6:AM20)</f>
        <v>935000</v>
      </c>
      <c r="AN22" s="13">
        <f>SUM(AN6:AN20)</f>
        <v>96</v>
      </c>
      <c r="AO22" s="12">
        <f>SUM(AO6:AO20)</f>
        <v>59062.5</v>
      </c>
      <c r="AP22" s="12">
        <f>SUM(AP6:AP19)</f>
        <v>787700</v>
      </c>
    </row>
    <row r="23" spans="1:43" ht="17" x14ac:dyDescent="0.5">
      <c r="C23" s="11" t="s">
        <v>68</v>
      </c>
      <c r="D23" s="5">
        <f>COUNTIF(D6:D20,"P")</f>
        <v>11</v>
      </c>
      <c r="E23" s="5" t="s">
        <v>57</v>
      </c>
      <c r="F23" s="5">
        <f t="shared" ref="F23:K23" si="9">COUNTIF(F6:F20,"P")</f>
        <v>13</v>
      </c>
      <c r="G23" s="5">
        <f t="shared" si="9"/>
        <v>11</v>
      </c>
      <c r="H23" s="5">
        <f t="shared" si="9"/>
        <v>14</v>
      </c>
      <c r="I23" s="5">
        <f t="shared" si="9"/>
        <v>13</v>
      </c>
      <c r="J23" s="5">
        <f t="shared" si="9"/>
        <v>14</v>
      </c>
      <c r="K23" s="5">
        <f t="shared" si="9"/>
        <v>15</v>
      </c>
      <c r="L23" s="5" t="s">
        <v>57</v>
      </c>
      <c r="M23" s="5">
        <f t="shared" ref="M23:R23" si="10">COUNTIF(M6:M20,"P")</f>
        <v>11</v>
      </c>
      <c r="N23" s="5">
        <f t="shared" si="10"/>
        <v>12</v>
      </c>
      <c r="O23" s="5">
        <f t="shared" si="10"/>
        <v>12</v>
      </c>
      <c r="P23" s="5">
        <f t="shared" si="10"/>
        <v>14</v>
      </c>
      <c r="Q23" s="5">
        <f t="shared" si="10"/>
        <v>13</v>
      </c>
      <c r="R23" s="5">
        <f t="shared" si="10"/>
        <v>14</v>
      </c>
      <c r="S23" s="5" t="s">
        <v>57</v>
      </c>
      <c r="T23" s="5">
        <f t="shared" ref="T23:Y23" si="11">COUNTIF(T6:T20,"P")</f>
        <v>15</v>
      </c>
      <c r="U23" s="5">
        <f t="shared" si="11"/>
        <v>13</v>
      </c>
      <c r="V23" s="5">
        <f t="shared" si="11"/>
        <v>11</v>
      </c>
      <c r="W23" s="5">
        <f t="shared" si="11"/>
        <v>11</v>
      </c>
      <c r="X23" s="5">
        <f t="shared" si="11"/>
        <v>13</v>
      </c>
      <c r="Y23" s="5">
        <f t="shared" si="11"/>
        <v>13</v>
      </c>
      <c r="Z23" s="5" t="s">
        <v>57</v>
      </c>
      <c r="AA23" s="5">
        <f t="shared" ref="AA23:AF23" si="12">COUNTIF(AA6:AA20,"P")</f>
        <v>14</v>
      </c>
      <c r="AB23" s="5">
        <f t="shared" si="12"/>
        <v>13</v>
      </c>
      <c r="AC23" s="5">
        <f t="shared" si="12"/>
        <v>12</v>
      </c>
      <c r="AD23" s="5">
        <f t="shared" si="12"/>
        <v>12</v>
      </c>
      <c r="AE23" s="5">
        <f t="shared" si="12"/>
        <v>13</v>
      </c>
      <c r="AF23" s="5">
        <f t="shared" si="12"/>
        <v>10</v>
      </c>
      <c r="AG23" s="5" t="s">
        <v>57</v>
      </c>
    </row>
    <row r="24" spans="1:43" ht="17" x14ac:dyDescent="0.5">
      <c r="C24" s="11" t="s">
        <v>69</v>
      </c>
      <c r="D24" s="5">
        <f>COUNTIF(D6:D20,"A")</f>
        <v>4</v>
      </c>
      <c r="E24" s="5" t="s">
        <v>57</v>
      </c>
      <c r="F24" s="5">
        <f t="shared" ref="F24:K24" si="13">COUNTIF(F6:F20,"A")</f>
        <v>2</v>
      </c>
      <c r="G24" s="5">
        <f t="shared" si="13"/>
        <v>4</v>
      </c>
      <c r="H24" s="5">
        <f t="shared" si="13"/>
        <v>1</v>
      </c>
      <c r="I24" s="5">
        <f t="shared" si="13"/>
        <v>2</v>
      </c>
      <c r="J24" s="5">
        <f t="shared" si="13"/>
        <v>1</v>
      </c>
      <c r="K24" s="5">
        <f t="shared" si="13"/>
        <v>0</v>
      </c>
      <c r="L24" s="5" t="s">
        <v>57</v>
      </c>
      <c r="M24" s="5">
        <f t="shared" ref="M24:R24" si="14">COUNTIF(M6:M20,"A")</f>
        <v>4</v>
      </c>
      <c r="N24" s="5">
        <f t="shared" si="14"/>
        <v>3</v>
      </c>
      <c r="O24" s="5">
        <f t="shared" si="14"/>
        <v>3</v>
      </c>
      <c r="P24" s="5">
        <f t="shared" si="14"/>
        <v>1</v>
      </c>
      <c r="Q24" s="5">
        <f t="shared" si="14"/>
        <v>2</v>
      </c>
      <c r="R24" s="5">
        <f t="shared" si="14"/>
        <v>1</v>
      </c>
      <c r="S24" s="5" t="s">
        <v>57</v>
      </c>
      <c r="T24" s="5">
        <f t="shared" ref="T24:Y24" si="15">COUNTIF(T6:T20,"A")</f>
        <v>0</v>
      </c>
      <c r="U24" s="5">
        <f t="shared" si="15"/>
        <v>2</v>
      </c>
      <c r="V24" s="5">
        <f t="shared" si="15"/>
        <v>4</v>
      </c>
      <c r="W24" s="5">
        <f t="shared" si="15"/>
        <v>4</v>
      </c>
      <c r="X24" s="5">
        <f t="shared" si="15"/>
        <v>2</v>
      </c>
      <c r="Y24" s="5">
        <f t="shared" si="15"/>
        <v>2</v>
      </c>
      <c r="Z24" s="5" t="s">
        <v>57</v>
      </c>
      <c r="AA24" s="5">
        <f t="shared" ref="AA24:AF24" si="16">COUNTIF(AA6:AA20,"A")</f>
        <v>1</v>
      </c>
      <c r="AB24" s="5">
        <f t="shared" si="16"/>
        <v>2</v>
      </c>
      <c r="AC24" s="5">
        <f t="shared" si="16"/>
        <v>3</v>
      </c>
      <c r="AD24" s="5">
        <f t="shared" si="16"/>
        <v>3</v>
      </c>
      <c r="AE24" s="5">
        <f t="shared" si="16"/>
        <v>2</v>
      </c>
      <c r="AF24" s="5">
        <f t="shared" si="16"/>
        <v>5</v>
      </c>
      <c r="AG24" s="5" t="s">
        <v>57</v>
      </c>
    </row>
    <row r="27" spans="1:43" ht="15.5" x14ac:dyDescent="0.35">
      <c r="B27" s="17" t="s">
        <v>70</v>
      </c>
      <c r="C27" s="14" t="s">
        <v>78</v>
      </c>
    </row>
    <row r="28" spans="1:43" ht="15.5" x14ac:dyDescent="0.35">
      <c r="B28" s="17" t="s">
        <v>71</v>
      </c>
      <c r="C28" s="15">
        <f>MAX(Table1[Total Salary])</f>
        <v>76500</v>
      </c>
    </row>
    <row r="29" spans="1:43" ht="15.5" x14ac:dyDescent="0.35">
      <c r="B29" s="17" t="s">
        <v>72</v>
      </c>
      <c r="C29" s="16">
        <f>COUNTA(Table1[Name])</f>
        <v>15</v>
      </c>
    </row>
    <row r="30" spans="1:43" ht="15.5" x14ac:dyDescent="0.35">
      <c r="B30" s="17" t="s">
        <v>73</v>
      </c>
      <c r="C30" s="15">
        <f>SUM(Table1[Total Salary])</f>
        <v>848262.5</v>
      </c>
    </row>
    <row r="31" spans="1:43" ht="15.5" x14ac:dyDescent="0.35">
      <c r="B31" s="17" t="s">
        <v>74</v>
      </c>
      <c r="C31" s="15">
        <f>SUM(Table1[Salary(PD)])</f>
        <v>789200</v>
      </c>
    </row>
    <row r="32" spans="1:43" ht="15.5" x14ac:dyDescent="0.35">
      <c r="B32" s="17" t="s">
        <v>75</v>
      </c>
      <c r="C32" s="18">
        <f>AVERAGE(Table1[Attendence%])</f>
        <v>84.533333333333331</v>
      </c>
    </row>
    <row r="33" spans="1:8" ht="15.5" x14ac:dyDescent="0.35">
      <c r="B33" s="17" t="s">
        <v>76</v>
      </c>
      <c r="C33" s="15">
        <f>SUM(Table1[Salary(TM)])</f>
        <v>935000</v>
      </c>
    </row>
    <row r="34" spans="1:8" ht="15.5" x14ac:dyDescent="0.35">
      <c r="B34" s="17" t="s">
        <v>77</v>
      </c>
      <c r="C34" s="15">
        <f>SUM(Table1[Bonus Amount])</f>
        <v>59062.5</v>
      </c>
    </row>
    <row r="36" spans="1:8" ht="15.5" x14ac:dyDescent="0.35">
      <c r="B36" s="20" t="s">
        <v>82</v>
      </c>
      <c r="C36" s="20"/>
    </row>
    <row r="37" spans="1:8" ht="15.5" x14ac:dyDescent="0.35">
      <c r="B37" s="17" t="s">
        <v>79</v>
      </c>
      <c r="C37" s="19">
        <f>COUNTIF(Table1[Performance],"Excellent")</f>
        <v>1</v>
      </c>
    </row>
    <row r="38" spans="1:8" ht="15.5" x14ac:dyDescent="0.35">
      <c r="B38" s="17" t="s">
        <v>80</v>
      </c>
      <c r="C38" s="19">
        <f>COUNTIF(Table1[Performance],"Average")</f>
        <v>6</v>
      </c>
    </row>
    <row r="39" spans="1:8" ht="15.5" x14ac:dyDescent="0.35">
      <c r="B39" s="17" t="s">
        <v>81</v>
      </c>
      <c r="C39" s="19">
        <f>COUNTIF(Table1[Performance],"Poor")</f>
        <v>4</v>
      </c>
    </row>
    <row r="41" spans="1:8" x14ac:dyDescent="0.35">
      <c r="B41" s="23" t="s">
        <v>83</v>
      </c>
      <c r="C41" s="24" t="s">
        <v>84</v>
      </c>
    </row>
    <row r="42" spans="1:8" x14ac:dyDescent="0.35">
      <c r="B42" t="s">
        <v>23</v>
      </c>
      <c r="C42" s="19">
        <f>COUNTIF(Table1[Role],B42)</f>
        <v>2</v>
      </c>
    </row>
    <row r="43" spans="1:8" x14ac:dyDescent="0.35">
      <c r="B43" s="23" t="s">
        <v>85</v>
      </c>
      <c r="C43" s="25">
        <f>COUNTA(Table1[Role])</f>
        <v>15</v>
      </c>
    </row>
    <row r="46" spans="1:8" ht="17" x14ac:dyDescent="0.5">
      <c r="A46" s="26" t="s">
        <v>0</v>
      </c>
      <c r="B46" s="27" t="s">
        <v>16</v>
      </c>
      <c r="C46" s="28" t="s">
        <v>24</v>
      </c>
      <c r="D46" s="27" t="s">
        <v>66</v>
      </c>
      <c r="E46" s="27" t="s">
        <v>58</v>
      </c>
      <c r="F46" s="27" t="s">
        <v>59</v>
      </c>
      <c r="G46" s="27" t="s">
        <v>62</v>
      </c>
      <c r="H46" s="30" t="s">
        <v>67</v>
      </c>
    </row>
    <row r="47" spans="1:8" x14ac:dyDescent="0.35">
      <c r="A47" s="5"/>
      <c r="B47" s="5" t="e">
        <f>VLOOKUP(A47,Table1[],2,0)</f>
        <v>#N/A</v>
      </c>
      <c r="C47" s="10" t="e">
        <f>VLOOKUP(A47,Table1[],3,0)</f>
        <v>#N/A</v>
      </c>
      <c r="D47" s="10" t="e">
        <f>VLOOKUP(A47,Table1[],42,0)</f>
        <v>#N/A</v>
      </c>
      <c r="E47" s="5" t="e">
        <f>VLOOKUP(A47,Table1[],34,0)</f>
        <v>#N/A</v>
      </c>
      <c r="F47" s="5" t="e">
        <f>VLOOKUP(A47,Table1[],35,0)</f>
        <v>#N/A</v>
      </c>
      <c r="G47" s="5" t="e">
        <f>VLOOKUP(A47,Table1[],38)</f>
        <v>#N/A</v>
      </c>
      <c r="H47" s="5" t="e">
        <f>VLOOKUP(A47,Table1[],43,0)</f>
        <v>#N/A</v>
      </c>
    </row>
    <row r="48" spans="1:8" x14ac:dyDescent="0.35">
      <c r="C48" s="19"/>
    </row>
  </sheetData>
  <mergeCells count="1">
    <mergeCell ref="B36:C36"/>
  </mergeCells>
  <phoneticPr fontId="4" type="noConversion"/>
  <pageMargins left="0.7" right="0.7" top="0.75" bottom="0.75" header="0.3" footer="0.3"/>
  <pageSetup orientation="portrait" r:id="rId1"/>
  <ignoredErrors>
    <ignoredError sqref="D23 F23:K23 M23:R23 T23:Y23 AA23:AF23" calculatedColumn="1"/>
  </ignoredErrors>
  <drawing r:id="rId2"/>
  <tableParts count="4">
    <tablePart r:id="rId3"/>
    <tablePart r:id="rId4"/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2E7726-7911-4F95-A6B1-A5139F312988}">
          <x14:formula1>
            <xm:f>Sheet2!$A$1:$A$7</xm:f>
          </x14:formula1>
          <xm:sqref>B42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B4A5E-6755-4385-B13F-DF4E1D0F4C74}">
  <dimension ref="A21:Z29"/>
  <sheetViews>
    <sheetView workbookViewId="0">
      <selection activeCell="E21" sqref="E21:G21"/>
    </sheetView>
  </sheetViews>
  <sheetFormatPr defaultRowHeight="14.5" x14ac:dyDescent="0.35"/>
  <sheetData>
    <row r="21" spans="1:26" ht="17" x14ac:dyDescent="0.5">
      <c r="E21" s="28"/>
      <c r="F21" s="27" t="s">
        <v>58</v>
      </c>
      <c r="G21" s="27" t="s">
        <v>59</v>
      </c>
    </row>
    <row r="25" spans="1:26" ht="17" x14ac:dyDescent="0.5">
      <c r="A25" s="26" t="e" cm="1">
        <f t="array" ref="A25">A25:AI46ame</f>
        <v>#NAME?</v>
      </c>
      <c r="B25" s="27" t="s">
        <v>16</v>
      </c>
      <c r="C25" s="28" t="s">
        <v>24</v>
      </c>
      <c r="D25" s="27" t="s">
        <v>25</v>
      </c>
      <c r="E25" s="27" t="s">
        <v>26</v>
      </c>
      <c r="F25" s="27" t="s">
        <v>27</v>
      </c>
      <c r="G25" s="27" t="s">
        <v>28</v>
      </c>
      <c r="H25" s="27" t="s">
        <v>29</v>
      </c>
      <c r="I25" s="27" t="s">
        <v>30</v>
      </c>
      <c r="J25" s="27" t="s">
        <v>31</v>
      </c>
      <c r="K25" s="27" t="s">
        <v>32</v>
      </c>
      <c r="L25" s="27" t="s">
        <v>33</v>
      </c>
      <c r="M25" s="27" t="s">
        <v>34</v>
      </c>
      <c r="N25" s="27" t="s">
        <v>35</v>
      </c>
      <c r="O25" s="27" t="s">
        <v>36</v>
      </c>
      <c r="P25" s="27" t="s">
        <v>37</v>
      </c>
      <c r="Q25" s="27" t="s">
        <v>38</v>
      </c>
      <c r="R25" s="27" t="s">
        <v>39</v>
      </c>
      <c r="S25" s="27" t="s">
        <v>40</v>
      </c>
    </row>
    <row r="26" spans="1:26" x14ac:dyDescent="0.35">
      <c r="A26" s="21" t="s">
        <v>1</v>
      </c>
      <c r="B26" s="22"/>
      <c r="C26" s="31"/>
      <c r="D26" s="32"/>
      <c r="E26" s="33"/>
      <c r="F26" s="32"/>
      <c r="G26" s="32"/>
      <c r="H26" s="32"/>
      <c r="I26" s="32"/>
      <c r="J26" s="32"/>
      <c r="K26" s="32"/>
      <c r="L26" s="33"/>
      <c r="M26" s="32"/>
      <c r="N26" s="32"/>
      <c r="O26" s="34"/>
      <c r="P26" s="32"/>
      <c r="Q26" s="32"/>
      <c r="R26" s="32"/>
      <c r="S26" s="33"/>
    </row>
    <row r="28" spans="1:26" ht="17" x14ac:dyDescent="0.5">
      <c r="C28" s="27" t="s">
        <v>41</v>
      </c>
      <c r="D28" s="27" t="s">
        <v>42</v>
      </c>
      <c r="E28" s="27" t="s">
        <v>43</v>
      </c>
      <c r="F28" s="27" t="s">
        <v>44</v>
      </c>
      <c r="G28" s="27" t="s">
        <v>45</v>
      </c>
      <c r="H28" s="27" t="s">
        <v>46</v>
      </c>
      <c r="I28" s="27" t="s">
        <v>47</v>
      </c>
      <c r="J28" s="27" t="s">
        <v>48</v>
      </c>
      <c r="K28" s="27" t="s">
        <v>49</v>
      </c>
      <c r="L28" s="27" t="s">
        <v>50</v>
      </c>
      <c r="M28" s="27" t="s">
        <v>51</v>
      </c>
      <c r="N28" s="27" t="s">
        <v>52</v>
      </c>
      <c r="O28" s="27" t="s">
        <v>53</v>
      </c>
      <c r="P28" s="27" t="s">
        <v>54</v>
      </c>
      <c r="Q28" s="27" t="s">
        <v>58</v>
      </c>
      <c r="R28" s="27" t="s">
        <v>59</v>
      </c>
      <c r="S28" s="28" t="s">
        <v>60</v>
      </c>
      <c r="T28" s="27" t="s">
        <v>61</v>
      </c>
      <c r="U28" s="27" t="s">
        <v>62</v>
      </c>
      <c r="V28" s="28" t="s">
        <v>63</v>
      </c>
      <c r="W28" s="29" t="s">
        <v>64</v>
      </c>
      <c r="X28" s="27" t="s">
        <v>65</v>
      </c>
      <c r="Y28" s="27" t="s">
        <v>66</v>
      </c>
      <c r="Z28" s="30" t="s">
        <v>67</v>
      </c>
    </row>
    <row r="29" spans="1:26" x14ac:dyDescent="0.35">
      <c r="C29" s="32"/>
      <c r="D29" s="34"/>
      <c r="E29" s="34"/>
      <c r="F29" s="34"/>
      <c r="G29" s="34"/>
      <c r="H29" s="32"/>
      <c r="I29" s="33"/>
      <c r="J29" s="32"/>
      <c r="K29" s="32"/>
      <c r="L29" s="32"/>
      <c r="M29" s="32" t="s">
        <v>55</v>
      </c>
      <c r="N29" s="32" t="s">
        <v>55</v>
      </c>
      <c r="O29" s="34" t="s">
        <v>56</v>
      </c>
      <c r="P29" s="33" t="s">
        <v>57</v>
      </c>
      <c r="Q29" s="33">
        <f>COUNTIF(C29:P29,"P")</f>
        <v>2</v>
      </c>
      <c r="R29" s="33">
        <f>COUNTIF(C29:P29,"A")</f>
        <v>1</v>
      </c>
      <c r="S29" s="35">
        <f>PRODUCT(Q29,Sheet3!C26)</f>
        <v>2</v>
      </c>
      <c r="T29" s="33">
        <v>25</v>
      </c>
      <c r="U29" s="33">
        <f>Q29/T29 * 100</f>
        <v>8</v>
      </c>
      <c r="V29" s="35">
        <f>PRODUCT(T29,Sheet3!C26)</f>
        <v>25</v>
      </c>
      <c r="W29" s="33">
        <f>IF(U29&gt;=90,10,IF(U29&gt;=85,8,IF(U29&gt;=75,5,0)))</f>
        <v>0</v>
      </c>
      <c r="X29" s="35">
        <f xml:space="preserve"> V29 * (W29 / 100)</f>
        <v>0</v>
      </c>
      <c r="Y29" s="35">
        <f>SUM(S29+X29)</f>
        <v>2</v>
      </c>
      <c r="Z29" s="36" t="str">
        <f>IF(U29=100,"Excellent",IF(U29&gt;=90,"Good",IF(U29&gt;=80,"Average","Poor")))</f>
        <v>Poor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77A56-EA9D-4679-B3F9-6551C769A9E5}">
  <dimension ref="A1:A7"/>
  <sheetViews>
    <sheetView workbookViewId="0">
      <selection activeCell="F12" sqref="F12"/>
    </sheetView>
  </sheetViews>
  <sheetFormatPr defaultRowHeight="14.5" x14ac:dyDescent="0.35"/>
  <cols>
    <col min="1" max="1" width="17.54296875" customWidth="1"/>
  </cols>
  <sheetData>
    <row r="1" spans="1:1" x14ac:dyDescent="0.35">
      <c r="A1" t="s">
        <v>17</v>
      </c>
    </row>
    <row r="2" spans="1:1" x14ac:dyDescent="0.35">
      <c r="A2" t="s">
        <v>21</v>
      </c>
    </row>
    <row r="3" spans="1:1" x14ac:dyDescent="0.35">
      <c r="A3" t="s">
        <v>18</v>
      </c>
    </row>
    <row r="4" spans="1:1" x14ac:dyDescent="0.35">
      <c r="A4" t="s">
        <v>23</v>
      </c>
    </row>
    <row r="5" spans="1:1" x14ac:dyDescent="0.35">
      <c r="A5" t="s">
        <v>19</v>
      </c>
    </row>
    <row r="6" spans="1:1" x14ac:dyDescent="0.35">
      <c r="A6" t="s">
        <v>22</v>
      </c>
    </row>
    <row r="7" spans="1:1" x14ac:dyDescent="0.35">
      <c r="A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V</dc:creator>
  <cp:lastModifiedBy>Keerthana V</cp:lastModifiedBy>
  <dcterms:created xsi:type="dcterms:W3CDTF">2025-11-30T06:09:32Z</dcterms:created>
  <dcterms:modified xsi:type="dcterms:W3CDTF">2025-12-10T15:26:36Z</dcterms:modified>
</cp:coreProperties>
</file>